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28" windowWidth="22752" windowHeight="8796"/>
  </bookViews>
  <sheets>
    <sheet name="智慧學術推薦系統核心主表" sheetId="1" r:id="rId1"/>
  </sheets>
  <definedNames>
    <definedName name="_xlnm._FilterDatabase" localSheetId="0" hidden="1">智慧學術推薦系統核心主表!$A$1:$L$224</definedName>
  </definedNames>
  <calcPr calcId="125725"/>
</workbook>
</file>

<file path=xl/calcChain.xml><?xml version="1.0" encoding="utf-8"?>
<calcChain xmlns="http://schemas.openxmlformats.org/spreadsheetml/2006/main">
  <c r="F103" i="1"/>
  <c r="G103"/>
  <c r="H22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2"/>
  <c r="H223"/>
  <c r="H224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"/>
  <c r="F221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2"/>
  <c r="F223"/>
  <c r="F224"/>
  <c r="F2"/>
</calcChain>
</file>

<file path=xl/sharedStrings.xml><?xml version="1.0" encoding="utf-8"?>
<sst xmlns="http://schemas.openxmlformats.org/spreadsheetml/2006/main" count="2019" uniqueCount="752">
  <si>
    <t>專業類別分類</t>
  </si>
  <si>
    <t>大會一句話導讀</t>
  </si>
  <si>
    <t>推薦直屬科別/職類</t>
  </si>
  <si>
    <t>大會投稿屬性偏好</t>
  </si>
  <si>
    <t>001</t>
  </si>
  <si>
    <t>人權、社會、醫療法制、健康識能與衛教創新、WHO轄下組織主辦</t>
  </si>
  <si>
    <t>全球聚焦於「人權、社會」領域之重要國際合作組織與學術交流平台。</t>
  </si>
  <si>
    <t>相關臨床專科</t>
  </si>
  <si>
    <t>【實務與政策友善級】歡迎各國醫療機構分享臨床指引導入成效、QI品質改善專案或在地照護經驗。</t>
  </si>
  <si>
    <t>002</t>
  </si>
  <si>
    <t>AKF (Aga Khan Foundation)</t>
  </si>
  <si>
    <t>基金會、社會、預立醫療、跨專業協同照護、WHO轄下組織主辦</t>
  </si>
  <si>
    <t>全球聚焦於「基金會、社會」領域之重要國際合作組織與學術交流平台。</t>
  </si>
  <si>
    <t>003</t>
  </si>
  <si>
    <t>人權、社會、性別平等、健康識能與衛教創新、WHO轄下組織主辦</t>
  </si>
  <si>
    <t>004</t>
  </si>
  <si>
    <t>A4HP (Alliance for Health Promotion)</t>
  </si>
  <si>
    <t>健康促進、全人醫療、醫療倫理、永續ESG、成癮科學與戒菸、員工福祉與心理韌性、高齡友善與長照對接、WHO轄下組織主辦</t>
  </si>
  <si>
    <t>世界級健康促進醫院(HPH)與預防醫學的核心組織，健康促進業務承辦人鍍金首選。</t>
  </si>
  <si>
    <t>家庭醫學科、社區醫學部、預防醫學中心、健康促進小組、牙醫、中醫、藥事、醫事放射、醫事檢驗、護理、營養、呼吸治療、物理治療、職能治療、臨床心理、語言治療</t>
  </si>
  <si>
    <t>【實務與政策友善級】對衛教宣導、社區戒菸、職場健康管理QI專案極度友善，極適合醫事與行政同仁跨出國際投稿第一步。</t>
  </si>
  <si>
    <t>005</t>
  </si>
  <si>
    <t>ADI (Alzheimer's Disease International)</t>
  </si>
  <si>
    <t>高齡、家醫、精準醫療、智慧醫療與決策支持、WHO轄下組織主辦</t>
  </si>
  <si>
    <t>全球聚焦於「高齡、家醫」領域之重要國際合作組織與學術交流平台。</t>
  </si>
  <si>
    <t>006</t>
  </si>
  <si>
    <t>ASRM (American Society for Reproductive Medicine)</t>
  </si>
  <si>
    <t>婦科、外科、醫療法制、預立醫療、跨專業協同照護、WHO轄下組織主辦</t>
  </si>
  <si>
    <t>全球聚焦於「婦科、外科」領域之重要國際合作組織與學術交流平台。</t>
  </si>
  <si>
    <t>007</t>
  </si>
  <si>
    <t>Amref (Amref Health Africa)</t>
  </si>
  <si>
    <t>人權、社會、醫療法制、多元、平等與包容、職場安全與零暴力、WHO轄下組織主辦</t>
  </si>
  <si>
    <t>008</t>
  </si>
  <si>
    <t>Anesvad (Anesvad Foundation)</t>
  </si>
  <si>
    <t>基金會、社會、多元、平等與包容、職場安全與零暴力、WHO轄下組織主辦</t>
  </si>
  <si>
    <t>009</t>
  </si>
  <si>
    <t>藥事、精準醫療、智慧醫療與決策支持、WHO轄下組織主辦</t>
  </si>
  <si>
    <t>全球聚焦於「藥事」領域之重要國際合作組織與學術交流平台。</t>
  </si>
  <si>
    <t>相關臨床專科、藥事</t>
  </si>
  <si>
    <t>010</t>
  </si>
  <si>
    <t>病檢、精準醫療、智慧醫療與決策支持、WHO轄下組織主辦</t>
  </si>
  <si>
    <t>全球聚焦於「病檢」領域之重要國際合作組織與學術交流平台。</t>
  </si>
  <si>
    <t>011</t>
  </si>
  <si>
    <t>人權、社會、性別平等、永續ESG、氣候韌性與綠色醫院、WHO轄下組織主辦</t>
  </si>
  <si>
    <t>012</t>
  </si>
  <si>
    <t>CBM (Christian Blind Mission)</t>
  </si>
  <si>
    <t>眼科、人權、醫療法制、永續ESG、氣候韌性與綠色醫院、WHO轄下組織主辦</t>
  </si>
  <si>
    <t>全球聚焦於「眼科、人權」領域之重要國際合作組織與學術交流平台。</t>
  </si>
  <si>
    <t>013</t>
  </si>
  <si>
    <t>CCI (Childhood Cancer International)</t>
  </si>
  <si>
    <t>癌症、兒科、精準醫療、預立醫療、居家醫療與遠距照護、WHO轄下組織主辦</t>
  </si>
  <si>
    <t>針對全球癌症防治、腫瘤診療與多學科整合照護之國際頂尖指標平台。</t>
  </si>
  <si>
    <t>【天花板級/中大型專科指標】偏好大型多中心臨床試驗、標靶或免疫新藥療效大數據，亦收錄創新照護QI。</t>
  </si>
  <si>
    <t>014</t>
  </si>
  <si>
    <t>CHAI (Clinton Health Access Initiative)</t>
  </si>
  <si>
    <t>其他醫衛、醫品、精實醫療與減廢、病人安全文化與通報、價值導向醫療、敏捷醫療行政、WHO轄下組織主辦</t>
  </si>
  <si>
    <t>全球醫管理論落地與醫院品質改善(QI)的領航大會，醫策會及各家醫管同仁的投稿最愛。</t>
  </si>
  <si>
    <t>醫療品質管理中心、病人安全小組、品管圈團隊、牙醫、中醫、藥事、醫事放射、醫事檢驗、護理、營養、呼吸治療、物理治療、職能治療、臨床心理、語言治療</t>
  </si>
  <si>
    <t>【實務與政策友善級】對QI專案極度友善！歡迎跨團隊病安改善、降低非計畫性拔管率等前後對比型品質改善專案。</t>
  </si>
  <si>
    <t>015</t>
  </si>
  <si>
    <t>CI (Consumers International)</t>
  </si>
  <si>
    <t>016</t>
  </si>
  <si>
    <t>CA (Corporate Accountability)</t>
  </si>
  <si>
    <t>人權、社會、醫療法制、永續ESG、氣候韌性與綠色醫院、WHO轄下組織主辦</t>
  </si>
  <si>
    <t>017</t>
  </si>
  <si>
    <t>其他醫衛、藥事、多元、平等與包容、職場安全與零暴力、WHO轄下組織主辦</t>
  </si>
  <si>
    <t>018</t>
  </si>
  <si>
    <t>CropLife (CropLife International)</t>
  </si>
  <si>
    <t>環衛、多元、平等與包容、職場安全與零暴力、WHO轄下組織主辦</t>
  </si>
  <si>
    <t>全球聚焦於「環衛」領域之重要國際合作組織與學術交流平台。</t>
  </si>
  <si>
    <t>019</t>
  </si>
  <si>
    <t>DNDi (Drugs for Neglected Diseases initiative)</t>
  </si>
  <si>
    <t>內科、藥事、精準醫療、智慧醫療與決策支持、WHO轄下組織主辦</t>
  </si>
  <si>
    <t>全球聚焦於「內科、藥事」領域之重要國際合作組織與學術交流平台。</t>
  </si>
  <si>
    <t>020</t>
  </si>
  <si>
    <t>其他醫衛、多元、平等與包容、職場安全與零暴力、WHO轄下組織主辦</t>
  </si>
  <si>
    <t>021</t>
  </si>
  <si>
    <t>ESMO (European Society for Medical Oncology)</t>
  </si>
  <si>
    <t>癌症、內科、精準醫療、預立醫療、居家醫療與遠距照護、WHO轄下組織主辦</t>
  </si>
  <si>
    <t>022</t>
  </si>
  <si>
    <t>FHI 360 (Family Health International)</t>
  </si>
  <si>
    <t>其他醫衛、社會、健康識能與衛教創新、WHO轄下組織主辦</t>
  </si>
  <si>
    <t>023</t>
  </si>
  <si>
    <t>FDI (FDI World Dental Federation)</t>
  </si>
  <si>
    <t>牙科、精準醫療、智慧醫療與決策支持、WHO轄下組織主辦</t>
  </si>
  <si>
    <t>全球聚焦於「牙科」領域之重要國際合作組織與學術交流平台。</t>
  </si>
  <si>
    <t>相關臨床專科、牙醫、牙體技術</t>
  </si>
  <si>
    <t>024</t>
  </si>
  <si>
    <t>Botnar (Fondation Botnar)</t>
  </si>
  <si>
    <t>其他醫衛、兒科、健康識能與衛教創新、WHO轄下組織主辦</t>
  </si>
  <si>
    <t>025</t>
  </si>
  <si>
    <t>026</t>
  </si>
  <si>
    <t>GAIN (Global Alliance for Improved Nutrition)</t>
  </si>
  <si>
    <t>營養、精準醫療、智慧醫療與決策支持、WHO轄下組織主辦</t>
  </si>
  <si>
    <t>全球聚焦於「營養」領域之重要國際合作組織與學術交流平台。</t>
  </si>
  <si>
    <t>相關臨床專科、營養</t>
  </si>
  <si>
    <t>027</t>
  </si>
  <si>
    <t>GATC (Global Alliance for Tobacco Control)</t>
  </si>
  <si>
    <t>028</t>
  </si>
  <si>
    <t>放射、核醫、永續ESG、氣候韌性與綠色醫院、WHO轄下組織主辦</t>
  </si>
  <si>
    <t>全球聚焦於「放射、核醫」領域之重要國際合作組織與學術交流平台。</t>
  </si>
  <si>
    <t>相關臨床專科、醫事放射</t>
  </si>
  <si>
    <t>029</t>
  </si>
  <si>
    <t>GHC (Global Health Council)</t>
  </si>
  <si>
    <t>其他醫衛、醫院促進、預立醫療、跨專業協同照護、WHO轄下組織主辦</t>
  </si>
  <si>
    <t>030</t>
  </si>
  <si>
    <t>GHI-Net (Global Healthcare Information Network)</t>
  </si>
  <si>
    <t>其他醫衛、精準醫療、智慧醫療與決策支持、WHO轄下組織主辦</t>
  </si>
  <si>
    <t>031</t>
  </si>
  <si>
    <t>GMTA (Global Medical Technology Alliance)</t>
  </si>
  <si>
    <t>032</t>
  </si>
  <si>
    <t>GSCF (Global Self-Care Federation)</t>
  </si>
  <si>
    <t>藥事、家醫、多元、平等與包容、職場安全與零暴力、WHO轄下組織主辦</t>
  </si>
  <si>
    <t>全球聚焦於「藥事、家醫」領域之重要國際合作組織與學術交流平台。</t>
  </si>
  <si>
    <t>033</t>
  </si>
  <si>
    <t>GCC (Grand Challenges Canada)</t>
  </si>
  <si>
    <t>基金會、社會、精準醫療、智慧醫療與決策支持、WHO轄下組織主辦</t>
  </si>
  <si>
    <t>034</t>
  </si>
  <si>
    <t>HI (Handicap International Federation)</t>
  </si>
  <si>
    <t>復健、物治、永續ESG、氣候韌性與綠色醫院、WHO轄下組織主辦</t>
  </si>
  <si>
    <t>全球聚焦於「復健、物治」領域之重要國際合作組織與學術交流平台。</t>
  </si>
  <si>
    <t>035</t>
  </si>
  <si>
    <t>HTAi (Health Technology Assessment international)</t>
  </si>
  <si>
    <t>036</t>
  </si>
  <si>
    <t>HKI (Helen Keller International)</t>
  </si>
  <si>
    <t>眼科、營養、多元、平等與包容、職場安全與零暴力、WHO轄下組織主辦</t>
  </si>
  <si>
    <t>全球聚焦於「眼科、營養」領域之重要國際合作組織與學術交流平台。</t>
  </si>
  <si>
    <t>037</t>
  </si>
  <si>
    <t>HelpAge (HelpAge International)</t>
  </si>
  <si>
    <t>高齡、社會、永續ESG、氣候韌性與綠色醫院、WHO轄下組織主辦</t>
  </si>
  <si>
    <t>全球聚焦於「高齡、社會」領域之重要國際合作組織與學術交流平台。</t>
  </si>
  <si>
    <t>038</t>
  </si>
  <si>
    <t>Humatem (Humatem)</t>
  </si>
  <si>
    <t>039</t>
  </si>
  <si>
    <t>眼科、預立醫療、跨專業協同照護、WHO轄下組織主辦</t>
  </si>
  <si>
    <t>全球聚焦於「眼科」領域之重要國際合作組織與學術交流平台。</t>
  </si>
  <si>
    <t>040</t>
  </si>
  <si>
    <t>IAS (International AIDS Society)</t>
  </si>
  <si>
    <t>內科、精準醫療、智慧醫療與決策支持、WHO轄下組織主辦</t>
  </si>
  <si>
    <t>全球聚焦於「內科」領域之重要國際合作組織與學術交流平台。</t>
  </si>
  <si>
    <t>041</t>
  </si>
  <si>
    <t>IATA (International Air Transport Association)</t>
  </si>
  <si>
    <t>環衛、預立醫療、跨專業協同照護、WHO轄下組織主辦</t>
  </si>
  <si>
    <t>042</t>
  </si>
  <si>
    <t>藥事、病檢、永續ESG、氣候韌性與綠色醫院、WHO轄下組織主辦</t>
  </si>
  <si>
    <t>全球聚焦於「藥事、病檢」領域之重要國際合作組織與學術交流平台。</t>
  </si>
  <si>
    <t>043</t>
  </si>
  <si>
    <t>044</t>
  </si>
  <si>
    <t>精神、兒科、預立醫療、跨專業協同照護、WHO轄下組織主辦</t>
  </si>
  <si>
    <t>全球聚焦於「精神、兒科」領域之重要國際合作組織與學術交流平台。</t>
  </si>
  <si>
    <t>045</t>
  </si>
  <si>
    <t>IADR (International Association for Dental Research)</t>
  </si>
  <si>
    <t>046</t>
  </si>
  <si>
    <t>安寧、高齡、多元、平等與包容、職場安全與零暴力、WHO轄下組織主辦</t>
  </si>
  <si>
    <t>全球聚焦於「安寧、高齡」領域之重要國際合作組織與學術交流平台。</t>
  </si>
  <si>
    <t>047</t>
  </si>
  <si>
    <t>IASP (International Association for Suicide Prevention)</t>
  </si>
  <si>
    <t>精神、永續ESG、氣候韌性與綠色醫院、WHO轄下組織主辦</t>
  </si>
  <si>
    <t>全球聚焦於「精神」領域之重要國際合作組織與學術交流平台。</t>
  </si>
  <si>
    <t>048</t>
  </si>
  <si>
    <t>復健、精神、精準醫療、智慧醫療與決策支持、WHO轄下組織主辦</t>
  </si>
  <si>
    <t>全球聚焦於「復健、精神」領域之重要國際合作組織與學術交流平台。</t>
  </si>
  <si>
    <t>049</t>
  </si>
  <si>
    <t>IASP (International Association for the Study of Pain)</t>
  </si>
  <si>
    <t>麻醉、外科、健康識能與衛教創新、WHO轄下組織主辦</t>
  </si>
  <si>
    <t>全球聚焦於「麻醉、外科」領域之重要國際合作組織與學術交流平台。</t>
  </si>
  <si>
    <t>050</t>
  </si>
  <si>
    <t>復健、聽力、多元、平等與包容、職場安全與零暴力、WHO轄下組織主辦</t>
  </si>
  <si>
    <t>全球聚焦於「復健、聽力」領域之重要國際合作組織與學術交流平台。</t>
  </si>
  <si>
    <t>相關臨床專科、聽力</t>
  </si>
  <si>
    <t>051</t>
  </si>
  <si>
    <t>IBFAN (International Baby Food Action Network)</t>
  </si>
  <si>
    <t>營養、兒科、永續ESG、氣候韌性與綠色醫院、WHO轄下組織主辦</t>
  </si>
  <si>
    <t>全球聚焦於「營養、兒科」領域之重要國際合作組織與學術交流平台。</t>
  </si>
  <si>
    <t>052</t>
  </si>
  <si>
    <t>IBE (International Bureau for Epilepsy)</t>
  </si>
  <si>
    <t>內科、永續ESG、氣候韌性與綠色醫院、WHO轄下組織主辦</t>
  </si>
  <si>
    <t>053</t>
  </si>
  <si>
    <t>兒科、婦科、醫療法制、預立醫療、跨專業協同照護、WHO轄下組織主辦</t>
  </si>
  <si>
    <t>全球聚焦於「兒科、婦科」領域之重要國際合作組織與學術交流平台。</t>
  </si>
  <si>
    <t>054</t>
  </si>
  <si>
    <t>ICS (International College of Surgeons)</t>
  </si>
  <si>
    <t>外科、精準醫療、智慧醫療與決策支持、WHO轄下組織主辦</t>
  </si>
  <si>
    <t>全球聚焦於「外科」領域之重要國際合作組織與學術交流平台。</t>
  </si>
  <si>
    <t>055</t>
  </si>
  <si>
    <t>放射、環衛、健康識能與衛教創新、WHO轄下組織主辦</t>
  </si>
  <si>
    <t>全球聚焦於「放射、環衛」領域之重要國際合作組織與學術交流平台。</t>
  </si>
  <si>
    <t>056</t>
  </si>
  <si>
    <t>ICOH (International Commission on Occupational Health)</t>
  </si>
  <si>
    <t>057</t>
  </si>
  <si>
    <t>放射、健康識能與衛教創新、WHO轄下組織主辦</t>
  </si>
  <si>
    <t>全球聚焦於「放射」領域之重要國際合作組織與學術交流平台。</t>
  </si>
  <si>
    <t>058</t>
  </si>
  <si>
    <t>婦科、性別平等、預立醫療、跨專業協同照護、WHO轄下組織主辦</t>
  </si>
  <si>
    <t>全球聚焦於「婦科」領域之重要國際合作組織與學術交流平台。</t>
  </si>
  <si>
    <t>059</t>
  </si>
  <si>
    <t>ICM (International Confederation of Midwives)</t>
  </si>
  <si>
    <t>護理、婦科、性別平等、永續ESG、氣候韌性與綠色醫院、WHO轄下組織主辦</t>
  </si>
  <si>
    <t>全球聚焦於「護理、婦科」領域之重要國際合作組織與學術交流平台。</t>
  </si>
  <si>
    <t>相關臨床專科、護理</t>
  </si>
  <si>
    <t>060</t>
  </si>
  <si>
    <t>病檢、藥事、健康識能與衛教創新、WHO轄下組織主辦</t>
  </si>
  <si>
    <t>全球聚焦於「病檢、藥事」領域之重要國際合作組織與學術交流平台。</t>
  </si>
  <si>
    <t>061</t>
  </si>
  <si>
    <t>病檢、內科、預立醫療、跨專業協同照護、WHO轄下組織主辦</t>
  </si>
  <si>
    <t>全球聚焦於「病檢、內科」領域之重要國際合作組織與學術交流平台。</t>
  </si>
  <si>
    <t>062</t>
  </si>
  <si>
    <t>ICN (International Council of Nurses)</t>
  </si>
  <si>
    <t>護理、預立醫療、跨專業協同照護、WHO轄下組織主辦</t>
  </si>
  <si>
    <t>全球聚焦於「護理」領域之重要國際合作組織與學術交流平台。</t>
  </si>
  <si>
    <t>063</t>
  </si>
  <si>
    <t>ICO (International Council of Ophthalmology)</t>
  </si>
  <si>
    <t>眼科、多元、平等與包容、職場安全與零暴力、WHO轄下組織主辦</t>
  </si>
  <si>
    <t>064</t>
  </si>
  <si>
    <t>IDF (International Diabetes Federation)</t>
  </si>
  <si>
    <t>065</t>
  </si>
  <si>
    <t>IEA (International Epidemiological Association)</t>
  </si>
  <si>
    <t>066</t>
  </si>
  <si>
    <t>IEA (International Ergonomics Association)</t>
  </si>
  <si>
    <t>復健、職治、永續ESG、氣候韌性與綠色醫院、WHO轄下組織主辦</t>
  </si>
  <si>
    <t>全球聚焦於「復健、職治」領域之重要國際合作組織與學術交流平台。</t>
  </si>
  <si>
    <t>相關臨床專科、職能治療</t>
  </si>
  <si>
    <t>067</t>
  </si>
  <si>
    <t>其他醫衛、放射、預立醫療、跨專業協同照護、WHO轄下組織主辦</t>
  </si>
  <si>
    <t>068</t>
  </si>
  <si>
    <t>相關臨床專科、醫事檢驗</t>
  </si>
  <si>
    <t>069</t>
  </si>
  <si>
    <t>病檢、健康識能與衛教創新、WHO轄下組織主辦</t>
  </si>
  <si>
    <t>070</t>
  </si>
  <si>
    <t>婦科、性別平等、多元、平等與包容、職場安全與零暴力、WHO轄下組織主辦</t>
  </si>
  <si>
    <t>071</t>
  </si>
  <si>
    <t>072</t>
  </si>
  <si>
    <t>IFHE (International Federation of Healthcare Engineering)</t>
  </si>
  <si>
    <t>073</t>
  </si>
  <si>
    <t>其他醫衛、醫學教育、教學倫理、全人教育、生成式AI醫療應用、數位沙盒與智慧模擬、敘事醫學與醫病共決、WHO轄下組織主辦</t>
  </si>
  <si>
    <t>聚焦於醫學教育、師資培育與教學方法創新的指標盛會，教研部醫教同仁與臨床教師發表必備。</t>
  </si>
  <si>
    <t>全院各臨床專科、臨床教師、牙醫、中醫、藥事、醫事放射、醫事檢驗、護理、營養、呼吸治療、物理治療、職能治療、臨床心理、語言治療</t>
  </si>
  <si>
    <t>【中大型專科指標】高度歡迎跨專業教育(IPE)、客觀結構化臨床考試(OSCE)優化、擬真醫學教學及師資培育之QI專案或實務成果。</t>
  </si>
  <si>
    <t>074</t>
  </si>
  <si>
    <t>耳鼻喉、多元、平等與包容、職場安全與零暴力、WHO轄下組織主辦</t>
  </si>
  <si>
    <t>全球聚焦於「耳鼻喉」領域之重要國際合作組織與學術交流平台。</t>
  </si>
  <si>
    <t>075</t>
  </si>
  <si>
    <t>076</t>
  </si>
  <si>
    <t>外科、預立醫療、跨專業協同照護、WHO轄下組織主辦</t>
  </si>
  <si>
    <t>077</t>
  </si>
  <si>
    <t>IFA (International Federation on Ageing)</t>
  </si>
  <si>
    <t>高齡、家醫、健康識能與衛教創新、WHO轄下組織主辦</t>
  </si>
  <si>
    <t>078</t>
  </si>
  <si>
    <t>藥事、健康識能與衛教創新、WHO轄下組織主辦</t>
  </si>
  <si>
    <t>079</t>
  </si>
  <si>
    <t>IHF (International Hospital Federation)</t>
  </si>
  <si>
    <t>其他醫衛、醫院促進、精準醫療、智慧醫療與決策支持、WHO轄下組織主辦</t>
  </si>
  <si>
    <t>080</t>
  </si>
  <si>
    <t>ILCA (International Lactation Consultant Association)</t>
  </si>
  <si>
    <t>護理、兒科、精準醫療、智慧醫療與決策支持、WHO轄下組織主辦</t>
  </si>
  <si>
    <t>全球聚焦於「護理、兒科」領域之重要國際合作組織與學術交流平台。</t>
  </si>
  <si>
    <t>081</t>
  </si>
  <si>
    <t>ILAE (International League Against Epilepsy)</t>
  </si>
  <si>
    <t>內科、多元、平等與包容、職場安全與零暴力、WHO轄下組織主辦</t>
  </si>
  <si>
    <t>082</t>
  </si>
  <si>
    <t>ILS (International Life Saving Federation)</t>
  </si>
  <si>
    <t>083</t>
  </si>
  <si>
    <t>IMC (International Medical Corps)</t>
  </si>
  <si>
    <t>084</t>
  </si>
  <si>
    <t>IMIA (International Medical Informatics Association)</t>
  </si>
  <si>
    <t>其他醫衛、永續ESG、氣候韌性與綠色醫院、WHO轄下組織主辦</t>
  </si>
  <si>
    <t>085</t>
  </si>
  <si>
    <t>INWAT (International Network of Women Against Tobacco)</t>
  </si>
  <si>
    <t>086</t>
  </si>
  <si>
    <t>兒科、環衛、健康識能與衛教創新、WHO轄下組織主辦</t>
  </si>
  <si>
    <t>全球聚焦於「兒科、環衛」領域之重要國際合作組織與學術交流平台。</t>
  </si>
  <si>
    <t>087</t>
  </si>
  <si>
    <t>放射、核醫、精準醫療、智慧醫療與決策支持、WHO轄下組織主辦</t>
  </si>
  <si>
    <t>088</t>
  </si>
  <si>
    <t>IPA (International Pediatric Association)</t>
  </si>
  <si>
    <t>兒科、多元、平等與包容、職場安全與零暴力、WHO轄下組織主辦</t>
  </si>
  <si>
    <t>全球聚焦於「兒科」領域之重要國際合作組織與學術交流平台。</t>
  </si>
  <si>
    <t>089</t>
  </si>
  <si>
    <t>FIP (International Pharmaceutical Federation)</t>
  </si>
  <si>
    <t>090</t>
  </si>
  <si>
    <t>IPSF (International Pharmaceutical Students' Federation)</t>
  </si>
  <si>
    <t>藥事、醫學教育、教學倫理、全人教育、生成式AI醫療應用、數位沙盒與智慧模擬、敘事醫學與醫病共決、WHO轄下組織主辦</t>
  </si>
  <si>
    <t>091</t>
  </si>
  <si>
    <t>其他醫衛、預立醫療、跨專業協同照護、WHO轄下組織主辦</t>
  </si>
  <si>
    <t>092</t>
  </si>
  <si>
    <t>IPPF (International Planned Parenthood Federation)</t>
  </si>
  <si>
    <t>婦科、社會、醫療法制、預立醫療、跨專業協同照護、WHO轄下組織主辦</t>
  </si>
  <si>
    <t>全球聚焦於「婦科、社會」領域之重要國際合作組織與學術交流平台。</t>
  </si>
  <si>
    <t>093</t>
  </si>
  <si>
    <t>IPOS (International Psycho-Oncology Society)</t>
  </si>
  <si>
    <t>癌症、精神、精準醫療、預立醫療、居家醫療與遠距照護、WHO轄下組織主辦</t>
  </si>
  <si>
    <t>相關臨床專科、臨床心理</t>
  </si>
  <si>
    <t>094</t>
  </si>
  <si>
    <t>人權、社會、性別平等、多元、平等與包容、職場安全與零暴力、WHO轄下組織主辦</t>
  </si>
  <si>
    <t>095</t>
  </si>
  <si>
    <t>內科、精神、精準醫療、智慧醫療與決策支持、WHO轄下組織主辦</t>
  </si>
  <si>
    <t>全球聚焦於「內科、精神」領域之重要國際合作組織與學術交流平台。</t>
  </si>
  <si>
    <t>096</t>
  </si>
  <si>
    <t>097</t>
  </si>
  <si>
    <t>098</t>
  </si>
  <si>
    <t>ISA (International Society of Andrology)</t>
  </si>
  <si>
    <t>外科、內科、預立醫療、跨專業協同照護、WHO轄下組織主辦</t>
  </si>
  <si>
    <t>全球聚焦於「外科、內科」領域之重要國際合作組織與學術交流平台。</t>
  </si>
  <si>
    <t>099</t>
  </si>
  <si>
    <t>ISA (International Society of Audiology)</t>
  </si>
  <si>
    <t>聽力、耳鼻喉、健康識能與衛教創新、WHO轄下組織主辦</t>
  </si>
  <si>
    <t>全球聚焦於「聽力、耳鼻喉」領域之重要國際合作組織與學術交流平台。</t>
  </si>
  <si>
    <t>100</t>
  </si>
  <si>
    <t>ISDE (International Society of Doctors for Environment)</t>
  </si>
  <si>
    <t>環衛、永續ESG、氣候韌性與綠色醫院、WHO轄下組織主辦</t>
  </si>
  <si>
    <t>101</t>
  </si>
  <si>
    <t>ISN (International Society of Nephrology)</t>
  </si>
  <si>
    <t>內科、健康識能與衛教創新、WHO轄下組織主辦</t>
  </si>
  <si>
    <t>102</t>
  </si>
  <si>
    <t>骨科、外科、精準醫療、智慧醫療與決策支持、WHO轄下組織主辦</t>
  </si>
  <si>
    <t>全球聚焦於「骨科、外科」領域之重要國際合作組織與學術交流平台。</t>
  </si>
  <si>
    <t>103</t>
  </si>
  <si>
    <t>復健、物治、預立醫療、跨專業協同照護、WHO轄下組織主辦</t>
  </si>
  <si>
    <t>104</t>
  </si>
  <si>
    <t>ISR (International Society of Radiology)</t>
  </si>
  <si>
    <t>放射、永續ESG、氣候韌性與綠色醫院、WHO轄下組織主辦</t>
  </si>
  <si>
    <t>105</t>
  </si>
  <si>
    <t>內科、病檢、多元、平等與包容、職場安全與零暴力、WHO轄下組織主辦</t>
  </si>
  <si>
    <t>全球聚焦於「內科、病檢」領域之重要國際合作組織與學術交流平台。</t>
  </si>
  <si>
    <t>106</t>
  </si>
  <si>
    <t>ISCOS (International Spinal Cord Society)</t>
  </si>
  <si>
    <t>復健、外科、預立醫療、跨專業協同照護、WHO轄下組織主辦</t>
  </si>
  <si>
    <t>全球聚焦於「復健、外科」領域之重要國際合作組織與學術交流平台。</t>
  </si>
  <si>
    <t>107</t>
  </si>
  <si>
    <t>108</t>
  </si>
  <si>
    <t>內科、其他醫衛、健康識能與衛教創新、WHO轄下組織主辦</t>
  </si>
  <si>
    <t>相關臨床專科、呼吸治療</t>
  </si>
  <si>
    <t>109</t>
  </si>
  <si>
    <t>110</t>
  </si>
  <si>
    <t>UIA (International Union of Architects)</t>
  </si>
  <si>
    <t>其他醫衛、健康識能與衛教創新、WHO轄下組織主辦</t>
  </si>
  <si>
    <t>111</t>
  </si>
  <si>
    <t>藥事、永續ESG、氣候韌性與綠色醫院、WHO轄下組織主辦</t>
  </si>
  <si>
    <t>112</t>
  </si>
  <si>
    <t>IUIS (International Union of Immunological Societies)</t>
  </si>
  <si>
    <t>內科、病檢、健康識能與衛教創新、WHO轄下組織主辦</t>
  </si>
  <si>
    <t>113</t>
  </si>
  <si>
    <t>IUPsyS (International Union of Psychological Science)</t>
  </si>
  <si>
    <t>精神、多元、平等與包容、職場安全與零暴力、WHO轄下組織主辦</t>
  </si>
  <si>
    <t>114</t>
  </si>
  <si>
    <t>IUTOX (International Union of Toxicology)</t>
  </si>
  <si>
    <t>115</t>
  </si>
  <si>
    <t>IWA (International Water Association)</t>
  </si>
  <si>
    <t>116</t>
  </si>
  <si>
    <t>IGN (Iodine Global Network)</t>
  </si>
  <si>
    <t>117</t>
  </si>
  <si>
    <t>KNCV (KNCV Tuberculosis Foundation)</t>
  </si>
  <si>
    <t>內科、預立醫療、跨專業協同照護、WHO轄下組織主辦</t>
  </si>
  <si>
    <t>118</t>
  </si>
  <si>
    <t>藥事、人權、醫療法制、多元、平等與包容、職場安全與零暴力、WHO轄下組織主辦</t>
  </si>
  <si>
    <t>全球聚焦於「藥事、人權」領域之重要國際合作組織與學術交流平台。</t>
  </si>
  <si>
    <t>119</t>
  </si>
  <si>
    <t>LTB (Lifting The Burden)</t>
  </si>
  <si>
    <t>120</t>
  </si>
  <si>
    <t>婦科、兒科、性別平等、精準醫療、智慧醫療與決策支持、WHO轄下組織主辦</t>
  </si>
  <si>
    <t>全球聚焦於「婦科、兒科」領域之重要國際合作組織與學術交流平台。</t>
  </si>
  <si>
    <t>121</t>
  </si>
  <si>
    <t>MdM (Médecins du Monde)</t>
  </si>
  <si>
    <t>122</t>
  </si>
  <si>
    <t>MSF (Médecins Sans Frontières International)</t>
  </si>
  <si>
    <t>人權、社會、性別平等、預立醫療、跨專業協同照護、WHO轄下組織主辦</t>
  </si>
  <si>
    <t>123</t>
  </si>
  <si>
    <t>MWIA (Medical Women's International Association)</t>
  </si>
  <si>
    <t>其他醫衛、人權、醫療法制、永續ESG、氣候韌性與綠色醫院、WHO轄下組織主辦</t>
  </si>
  <si>
    <t>124</t>
  </si>
  <si>
    <t>MPP (Medicines Patent Pool Foundation)</t>
  </si>
  <si>
    <t>125</t>
  </si>
  <si>
    <t>MMI (Medicus Mundi International)</t>
  </si>
  <si>
    <t>人權、社會、醫療法制、預立醫療、跨專業協同照護、WHO轄下組織主辦</t>
  </si>
  <si>
    <t>126</t>
  </si>
  <si>
    <t>MMV (MMV Medicines for Malaria Venture)</t>
  </si>
  <si>
    <t>127</t>
  </si>
  <si>
    <t>Movendi (Movendi International)</t>
  </si>
  <si>
    <t>128</t>
  </si>
  <si>
    <t>MSIF (Multiple Sclerosis International Federation)</t>
  </si>
  <si>
    <t>129</t>
  </si>
  <si>
    <t>NCDA (NCD Alliance)</t>
  </si>
  <si>
    <t>內科、其他醫衛、多元、平等與包容、職場安全與零暴力、WHO轄下組織主辦</t>
  </si>
  <si>
    <t>130</t>
  </si>
  <si>
    <t>NI (Nutrition International)</t>
  </si>
  <si>
    <t>131</t>
  </si>
  <si>
    <t>OPC (Organization for the Prevention of Blindness)</t>
  </si>
  <si>
    <t>132</t>
  </si>
  <si>
    <t>OIA (Osteopathic International Alliance)</t>
  </si>
  <si>
    <t>骨科、復健、預立醫療、跨專業協同照護、WHO轄下組織主辦</t>
  </si>
  <si>
    <t>全球聚焦於「骨科、復健」領域之重要國際合作組織與學術交流平台。</t>
  </si>
  <si>
    <t>133</t>
  </si>
  <si>
    <t>Oxfam (Oxfam)</t>
  </si>
  <si>
    <t>134</t>
  </si>
  <si>
    <t>PN (Pasteur Network)</t>
  </si>
  <si>
    <t>病檢、內科、多元、平等與包容、職場安全與零暴力、WHO轄下組織主辦</t>
  </si>
  <si>
    <t>135</t>
  </si>
  <si>
    <t>PATH (PATH)</t>
  </si>
  <si>
    <t>136</t>
  </si>
  <si>
    <t>PSI (Public Services International)</t>
  </si>
  <si>
    <t>社會、人權、性別平等、多元、平等與包容、職場安全與零暴力、WHO轄下組織主辦</t>
  </si>
  <si>
    <t>全球聚焦於「社會、人權」領域之重要國際合作組織與學術交流平台。</t>
  </si>
  <si>
    <t>137</t>
  </si>
  <si>
    <t>138</t>
  </si>
  <si>
    <t>RDI (Rare Diseases International)</t>
  </si>
  <si>
    <t>139</t>
  </si>
  <si>
    <t>140</t>
  </si>
  <si>
    <t>RI (Rotary International)</t>
  </si>
  <si>
    <t>社會、多元、平等與包容、職場安全與零暴力、WHO轄下組織主辦</t>
  </si>
  <si>
    <t>全球聚焦於「社會」領域之重要國際合作組織與學術交流平台。</t>
  </si>
  <si>
    <t>141</t>
  </si>
  <si>
    <t>GNP+ (Global Network of People HIV/AIDS)</t>
  </si>
  <si>
    <t>內科、人權、醫療法制、預立醫療、跨專業協同照護、WHO轄下組織主辦</t>
  </si>
  <si>
    <t>全球聚焦於「內科、人權」領域之重要國際合作組織與學術交流平台。</t>
  </si>
  <si>
    <t>142</t>
  </si>
  <si>
    <t>HAI (Health Action International)</t>
  </si>
  <si>
    <t>143</t>
  </si>
  <si>
    <t>TIF (Thalassaemia International Federation)</t>
  </si>
  <si>
    <t>144</t>
  </si>
  <si>
    <t>Sabin Vaccine Institute (Sabin Vaccine Institute)</t>
  </si>
  <si>
    <t>藥事、兒科、多元、平等與包容、職場安全與零暴力、WHO轄下組織主辦</t>
  </si>
  <si>
    <t>全球聚焦於「藥事、兒科」領域之重要國際合作組織與學術交流平台。</t>
  </si>
  <si>
    <t>145</t>
  </si>
  <si>
    <t>Bloomberg Philanthropies (Bloomberg Foundation)</t>
  </si>
  <si>
    <t>基金會、健康識能與衛教創新、WHO轄下組織主辦</t>
  </si>
  <si>
    <t>全球聚焦於「基金會」領域之重要國際合作組織與學術交流平台。</t>
  </si>
  <si>
    <t>146</t>
  </si>
  <si>
    <t>147</t>
  </si>
  <si>
    <t>The Center for Reproductive Rights (CRR)</t>
  </si>
  <si>
    <t>婦科、人權、性別平等、健康識能與衛教創新、WHO轄下組織主辦</t>
  </si>
  <si>
    <t>全球聚焦於「婦科、人權」領域之重要國際合作組織與學術交流平台。</t>
  </si>
  <si>
    <t>148</t>
  </si>
  <si>
    <t>Cochrane (The Cochrane Collaboration)</t>
  </si>
  <si>
    <t>149</t>
  </si>
  <si>
    <t>CPA (Commonwealth Pharmacists Association)</t>
  </si>
  <si>
    <t>150</t>
  </si>
  <si>
    <t>FHF (The Fred Hollows Foundation)</t>
  </si>
  <si>
    <t>眼科、精準醫療、智慧醫療與決策支持、WHO轄下組織主辦</t>
  </si>
  <si>
    <t>151</t>
  </si>
  <si>
    <t>GARC (Global Alliance for Rabies Control)</t>
  </si>
  <si>
    <t>152</t>
  </si>
  <si>
    <t>社會、預立醫療、跨專業協同照護、WHO轄下組織主辦</t>
  </si>
  <si>
    <t>153</t>
  </si>
  <si>
    <t>皮膚、內科、預立醫療、跨專業協同照護、WHO轄下組織主辦</t>
  </si>
  <si>
    <t>全球聚焦於「皮膚、內科」領域之重要國際合作組織與學術交流平台。</t>
  </si>
  <si>
    <t>154</t>
  </si>
  <si>
    <t>婦科、醫療法制、預立醫療、跨專業協同照護、WHO轄下組織主辦</t>
  </si>
  <si>
    <t>155</t>
  </si>
  <si>
    <t>皮膚、預立醫療、跨專業協同照護、WHO轄下組織主辦</t>
  </si>
  <si>
    <t>全球聚焦於「皮膚」領域之重要國際合作組織與學術交流平台。</t>
  </si>
  <si>
    <t>156</t>
  </si>
  <si>
    <t>ILA (The International Leprosy Association)</t>
  </si>
  <si>
    <t>皮膚、內科、多元、平等與包容、職場安全與零暴力、WHO轄下組織主辦</t>
  </si>
  <si>
    <t>157</t>
  </si>
  <si>
    <t>外科、復健、預立醫療、跨專業協同照護、WHO轄下組織主辦</t>
  </si>
  <si>
    <t>全球聚焦於「外科、復健」領域之重要國際合作組織與學術交流平台。</t>
  </si>
  <si>
    <t>158</t>
  </si>
  <si>
    <t>復健、健康識能與衛教創新、WHO轄下組織主辦</t>
  </si>
  <si>
    <t>全球聚焦於「復健」領域之重要國際合作組織與學術交流平台。</t>
  </si>
  <si>
    <t>159</t>
  </si>
  <si>
    <t>160</t>
  </si>
  <si>
    <t>兒科、社會、健康識能與衛教創新、WHO轄下組織主辦</t>
  </si>
  <si>
    <t>全球聚焦於「兒科、社會」領域之重要國際合作組織與學術交流平台。</t>
  </si>
  <si>
    <t>161</t>
  </si>
  <si>
    <t>內科、病檢、預立醫療、跨專業協同照護、WHO轄下組織主辦</t>
  </si>
  <si>
    <t>162</t>
  </si>
  <si>
    <t>163</t>
  </si>
  <si>
    <t>放射、多元、平等與包容、職場安全與零暴力、WHO轄下組織主辦</t>
  </si>
  <si>
    <t>164</t>
  </si>
  <si>
    <t>TUFH (The Network Towards Unity For Health)</t>
  </si>
  <si>
    <t>165</t>
  </si>
  <si>
    <t>婦科、社會、醫療法制、永續ESG、氣候韌性與綠色醫院、WHO轄下組織主辦</t>
  </si>
  <si>
    <t>166</t>
  </si>
  <si>
    <t>Rockefeller (The Rockefeller Foundation)</t>
  </si>
  <si>
    <t>基金會、精準醫療、智慧醫療與決策支持、WHO轄下組織主辦</t>
  </si>
  <si>
    <t>167</t>
  </si>
  <si>
    <t>Sightsavers (Royal Commonwealth Society Blind)</t>
  </si>
  <si>
    <t>眼科、人權、性別平等、精準醫療、智慧醫療與決策支持、WHO轄下組織主辦</t>
  </si>
  <si>
    <t>168</t>
  </si>
  <si>
    <t>RNLI (Royal National Lifeboat Institution)</t>
  </si>
  <si>
    <t>169</t>
  </si>
  <si>
    <t>SCF (The Save the Children Fund)</t>
  </si>
  <si>
    <t>兒科、社會、精準醫療、智慧醫療與決策支持、WHO轄下組織主辦</t>
  </si>
  <si>
    <t>170</t>
  </si>
  <si>
    <t>171</t>
  </si>
  <si>
    <t>TTS (The Transplantation Society)</t>
  </si>
  <si>
    <t>外科、移植、預立醫療、跨專業協同照護、WHO轄下組織主辦</t>
  </si>
  <si>
    <t>全球聚焦於「外科、移植」領域之重要國際合作組織與學術交流平台。</t>
  </si>
  <si>
    <t>172</t>
  </si>
  <si>
    <t>WHPCA (Worldwide Hospice Palliative Care)</t>
  </si>
  <si>
    <t>安寧、多元、平等與包容、職場安全與零暴力、WHO轄下組織主辦</t>
  </si>
  <si>
    <t>全球聚焦於「安寧」領域之重要國際合作組織與學術交流平台。</t>
  </si>
  <si>
    <t>173</t>
  </si>
  <si>
    <t>UICC (Union for International Cancer Control)</t>
  </si>
  <si>
    <t>癌症、精準醫療、預立醫療、居家醫療與遠距照護、WHO轄下組織主辦</t>
  </si>
  <si>
    <t>174</t>
  </si>
  <si>
    <t>基金會、多元、平等與包容、職場安全與零暴力、WHO轄下組織主辦</t>
  </si>
  <si>
    <t>175</t>
  </si>
  <si>
    <t>USP (United States Pharmacopeial Convention)</t>
  </si>
  <si>
    <t>藥事、預立醫療、跨專業協同照護、WHO轄下組織主辦</t>
  </si>
  <si>
    <t>176</t>
  </si>
  <si>
    <t>177</t>
  </si>
  <si>
    <t>WAi (WaterAid international)</t>
  </si>
  <si>
    <t>178</t>
  </si>
  <si>
    <t>Wellcome Trust (Wellcome Trust)</t>
  </si>
  <si>
    <t>基金會、永續ESG、氣候韌性與綠色醫院、WHO轄下組織主辦</t>
  </si>
  <si>
    <t>179</t>
  </si>
  <si>
    <t>婦科、人權、性別平等、預立醫療、跨專業協同照護、WHO轄下組織主辦</t>
  </si>
  <si>
    <t>180</t>
  </si>
  <si>
    <t>181</t>
  </si>
  <si>
    <t>WONCA (WONCA Association)</t>
  </si>
  <si>
    <t>家醫、精準醫療、智慧醫療與決策支持、WHO轄下組織主辦</t>
  </si>
  <si>
    <t>全球聚焦於「家醫」領域之重要國際合作組織與學術交流平台。</t>
  </si>
  <si>
    <t>182</t>
  </si>
  <si>
    <t>WAS (World Association for Sexual Health)</t>
  </si>
  <si>
    <t>婦科、精神、性別平等、精準醫療、智慧醫療與決策支持、WHO轄下組織主辦</t>
  </si>
  <si>
    <t>全球聚焦於「婦科、精神」領域之重要國際合作組織與學術交流平台。</t>
  </si>
  <si>
    <t>183</t>
  </si>
  <si>
    <t>WAE (World Association of Echinococcosis)</t>
  </si>
  <si>
    <t>184</t>
  </si>
  <si>
    <t>病檢、預立醫療、跨專業協同照護、WHO轄下組織主辦</t>
  </si>
  <si>
    <t>185</t>
  </si>
  <si>
    <t>WBU (World Blind Union)</t>
  </si>
  <si>
    <t>眼科、人權、醫療法制、預立醫療、跨專業協同照護、WHO轄下組織主辦</t>
  </si>
  <si>
    <t>186</t>
  </si>
  <si>
    <t>癌症、營養、精準醫療、預立醫療、居家醫療與遠距照護、WHO轄下組織主辦</t>
  </si>
  <si>
    <t>187</t>
  </si>
  <si>
    <t>WCPT (World Confederation Physical Therapy)</t>
  </si>
  <si>
    <t>物治、復健、多元、平等與包容、職場安全與零暴力、WHO轄下組織主辦</t>
  </si>
  <si>
    <t>全球聚焦於「物治、復健」領域之重要國際合作組織與學術交流平台。</t>
  </si>
  <si>
    <t>相關臨床專科、物理治療</t>
  </si>
  <si>
    <t>188</t>
  </si>
  <si>
    <t>WCC (World Council of Churches)</t>
  </si>
  <si>
    <t>社會、人權、醫療法制、精準醫療、智慧醫療與決策支持、WHO轄下組織主辦</t>
  </si>
  <si>
    <t>189</t>
  </si>
  <si>
    <t>WCO (World Council of Optometry)</t>
  </si>
  <si>
    <t>190</t>
  </si>
  <si>
    <t>191</t>
  </si>
  <si>
    <t>WFMH (World Federation for Mental Health)</t>
  </si>
  <si>
    <t>精神、精準醫療、智慧醫療與決策支持、WHO轄下組織主辦</t>
  </si>
  <si>
    <t>192</t>
  </si>
  <si>
    <t>放射、內科、永續ESG、氣候韌性與綠色醫院、WHO轄下組織主辦</t>
  </si>
  <si>
    <t>全球聚焦於「放射、內科」領域之重要國際合作組織與學術交流平台。</t>
  </si>
  <si>
    <t>193</t>
  </si>
  <si>
    <t>中醫、永續ESG、氣候韌性與綠色醫院、WHO轄下組織主辦</t>
  </si>
  <si>
    <t>全球聚焦於「中醫」領域之重要國際合作組織與學術交流平台。</t>
  </si>
  <si>
    <t>相關臨床專科、中醫</t>
  </si>
  <si>
    <t>194</t>
  </si>
  <si>
    <t>195</t>
  </si>
  <si>
    <t>WFC (World Federation of Chiropractic)</t>
  </si>
  <si>
    <t>復健、骨科、多元、平等與包容、職場安全與零暴力、WHO轄下組織主辦</t>
  </si>
  <si>
    <t>全球聚焦於「復健、骨科」領域之重要國際合作組織與學術交流平台。</t>
  </si>
  <si>
    <t>196</t>
  </si>
  <si>
    <t>WFH (World Federation of Hemophilia)</t>
  </si>
  <si>
    <t>197</t>
  </si>
  <si>
    <t>198</t>
  </si>
  <si>
    <t>WFN (World Federation of Neurology)</t>
  </si>
  <si>
    <t>199</t>
  </si>
  <si>
    <t>神外、外科、永續ESG、氣候韌性與綠色醫院、WHO轄下組織主辦</t>
  </si>
  <si>
    <t>全球聚焦於「神外、外科」領域之重要國際合作組織與學術交流平台。</t>
  </si>
  <si>
    <t>200</t>
  </si>
  <si>
    <t>核醫、放射、精準醫療、智慧醫療與決策支持、WHO轄下組織主辦</t>
  </si>
  <si>
    <t>全球聚焦於「核醫、放射」領域之重要國際合作組織與學術交流平台。</t>
  </si>
  <si>
    <t>201</t>
  </si>
  <si>
    <t>職治、復健、永續ESG、氣候韌性與綠色醫院、WHO轄下組織主辦</t>
  </si>
  <si>
    <t>全球聚焦於「職治、復健」領域之重要國際合作組織與學術交流平台。</t>
  </si>
  <si>
    <t>202</t>
  </si>
  <si>
    <t>其他醫衛、環衛、多元、平等與包容、職場安全與零暴力、WHO轄下組織主辦</t>
  </si>
  <si>
    <t>203</t>
  </si>
  <si>
    <t>204</t>
  </si>
  <si>
    <t>WFD (World Federation of the Deaf)</t>
  </si>
  <si>
    <t>聽力、復健、健康識能與衛教創新、WHO轄下組織主辦</t>
  </si>
  <si>
    <t>全球聚焦於「聽力、復健」領域之重要國際合作組織與學術交流平台。</t>
  </si>
  <si>
    <t>205</t>
  </si>
  <si>
    <t>206</t>
  </si>
  <si>
    <t>WHF (World Heart Federation)</t>
  </si>
  <si>
    <t>207</t>
  </si>
  <si>
    <t>WHA (World Hepatitis Alliance)</t>
  </si>
  <si>
    <t>208</t>
  </si>
  <si>
    <t>WHL (World Hypertension League)</t>
  </si>
  <si>
    <t>209</t>
  </si>
  <si>
    <t>WMA (World Medical Association)</t>
  </si>
  <si>
    <t>210</t>
  </si>
  <si>
    <t>WOF (World Obesity Federation)</t>
  </si>
  <si>
    <t>內科、營養、健康識能與衛教創新、WHO轄下組織主辦</t>
  </si>
  <si>
    <t>全球聚焦於「內科、營養」領域之重要國際合作組織與學術交流平台。</t>
  </si>
  <si>
    <t>211</t>
  </si>
  <si>
    <t>WPC (World Plumbing Council)</t>
  </si>
  <si>
    <t>環衛、健康識能與衛教創新、WHO轄下組織主辦</t>
  </si>
  <si>
    <t>212</t>
  </si>
  <si>
    <t>WPA (World Psychiatric Association)</t>
  </si>
  <si>
    <t>精神、健康識能與衛教創新、WHO轄下組織主辦</t>
  </si>
  <si>
    <t>213</t>
  </si>
  <si>
    <t>WSO (World Stroke Organization)</t>
  </si>
  <si>
    <t>內科、復健、永續ESG、氣候韌性與綠色醫院、WHO轄下組織主辦</t>
  </si>
  <si>
    <t>全球聚焦於「內科、復健」領域之重要國際合作組織與學術交流平台。</t>
  </si>
  <si>
    <t>214</t>
  </si>
  <si>
    <t>WVA (World Veterinary Association)</t>
  </si>
  <si>
    <t>215</t>
  </si>
  <si>
    <t>WVI (World Vision International)</t>
  </si>
  <si>
    <t>社會、人權、醫療法制、健康識能與衛教創新、WHO轄下組織主辦</t>
  </si>
  <si>
    <t>216</t>
  </si>
  <si>
    <t>WBMT (Worldwide Network Blood/Marrow Transp)</t>
  </si>
  <si>
    <t>內科、移植、精準醫療、智慧醫療與決策支持、WHO轄下組織主辦</t>
  </si>
  <si>
    <t>全球聚焦於「內科、移植」領域之重要國際合作組織與學術交流平台。</t>
  </si>
  <si>
    <t>217</t>
  </si>
  <si>
    <t>健康促進、醫院促進、全人醫療、醫療倫理、永續ESG、成癮科學與戒菸、員工福祉與心理韌性、高齡友善與長照對接、與 WHO 健康促進倡議具合作連結之國際網絡</t>
  </si>
  <si>
    <t>218</t>
  </si>
  <si>
    <t>AMEE (An International Association for Medical Education)</t>
  </si>
  <si>
    <t>醫學教育、教學倫理、全人教育、生成式AI醫療應用、數位沙盒與智慧模擬、敘事醫學與醫病共決</t>
  </si>
  <si>
    <t>219</t>
  </si>
  <si>
    <t>醫學教育、政策、教學倫理、全人教育、生成式AI醫療應用、數位沙盒與智慧模擬、敘事醫學與醫病共決</t>
  </si>
  <si>
    <t>220</t>
  </si>
  <si>
    <t>醫學教育、亞太區域、教學倫理、全人教育、生成式AI醫療應用、數位沙盒與智慧模擬、敘事醫學與醫病共決</t>
  </si>
  <si>
    <t>221</t>
  </si>
  <si>
    <t>SEARAME (South-East Asian Regional Association for Medical Education / 東南亞醫學教育學會)</t>
  </si>
  <si>
    <t>醫學教育、東南亞區域、教學倫理、全人教育、生成式AI醫療應用、數位沙盒與智慧模擬、敘事醫學與醫病共決</t>
  </si>
  <si>
    <t>222</t>
  </si>
  <si>
    <t>EBMA (European Board of Medical Assessors / 歐洲醫學評量學會)</t>
  </si>
  <si>
    <t>醫學教育、歐洲區域評量、教學倫理、全人教育、生成式AI醫療應用、數位沙盒與智慧模擬、敘事醫學與醫病共決</t>
  </si>
  <si>
    <t>223</t>
  </si>
  <si>
    <t>JSME (Japan Society for Medical Education / 日本醫學教育學會)</t>
  </si>
  <si>
    <t>醫學教育、東亞區域、教學倫理、全人教育、生成式AI醫療應用、數位沙盒與智慧模擬、敘事醫學與醫病共決</t>
  </si>
  <si>
    <t>全球聚焦於「人權、社會」領域之重要國際合作組織與學術交流平台。</t>
    <phoneticPr fontId="3" type="noConversion"/>
  </si>
  <si>
    <t>歷年慣例徵稿週期(結束月)</t>
  </si>
  <si>
    <t>無固定學術徵稿</t>
  </si>
  <si>
    <t>01月</t>
  </si>
  <si>
    <t>03月</t>
  </si>
  <si>
    <t>05月</t>
  </si>
  <si>
    <t>06月</t>
  </si>
  <si>
    <t>10月</t>
  </si>
  <si>
    <t>04月或12月</t>
  </si>
  <si>
    <t>02月</t>
  </si>
  <si>
    <t>04月</t>
  </si>
  <si>
    <t>07月</t>
  </si>
  <si>
    <t>11月</t>
  </si>
  <si>
    <t>03月 (雙年)</t>
  </si>
  <si>
    <t>03月或04月</t>
  </si>
  <si>
    <t>09月或10月</t>
  </si>
  <si>
    <t>10月或11月</t>
  </si>
  <si>
    <t>09月</t>
  </si>
  <si>
    <t>12月</t>
  </si>
  <si>
    <t>08月</t>
  </si>
  <si>
    <t>07月或08月 (雙年)</t>
  </si>
  <si>
    <t>06月或07月</t>
  </si>
  <si>
    <t>09月或10月 (雙年)</t>
  </si>
  <si>
    <t>08月或09月 (雙年)</t>
  </si>
  <si>
    <t>最近公告會期</t>
    <phoneticPr fontId="3" type="noConversion"/>
  </si>
  <si>
    <t>HPH (International Network of Health Promoting Hospitals and Health Services)</t>
    <phoneticPr fontId="3" type="noConversion"/>
  </si>
  <si>
    <t>APMEC (Asia-Pacific Medical Education Conference / 亞太醫學教育學會)</t>
    <phoneticPr fontId="3" type="noConversion"/>
  </si>
  <si>
    <t>最近公告徵稿截止日期</t>
    <phoneticPr fontId="3" type="noConversion"/>
  </si>
  <si>
    <t>歷年慣例會期月份</t>
    <phoneticPr fontId="3" type="noConversion"/>
  </si>
  <si>
    <t>四年一度大會(無慣例會期)</t>
    <phoneticPr fontId="3" type="noConversion"/>
  </si>
  <si>
    <t>四年一度世界大會(無慣例會期)</t>
    <phoneticPr fontId="3" type="noConversion"/>
  </si>
  <si>
    <t>三年一度世界大會(無慣例會期)</t>
    <phoneticPr fontId="3" type="noConversion"/>
  </si>
  <si>
    <t>依官網專案公告(無慣例會期)</t>
  </si>
  <si>
    <t>不定期技術大會(無慣例會期)</t>
    <phoneticPr fontId="3" type="noConversion"/>
  </si>
  <si>
    <t>不定期夥伴會議(無慣例會期)</t>
    <phoneticPr fontId="3" type="noConversion"/>
  </si>
  <si>
    <t>不定期成員大會(無慣例會期)</t>
    <phoneticPr fontId="3" type="noConversion"/>
  </si>
  <si>
    <t>不定期專題研討(無慣例會期)</t>
    <phoneticPr fontId="3" type="noConversion"/>
  </si>
  <si>
    <t>ACF (Action Against Hunger)</t>
    <phoneticPr fontId="3" type="noConversion"/>
  </si>
  <si>
    <t>國際組織官網</t>
    <phoneticPr fontId="3" type="noConversion"/>
  </si>
  <si>
    <t>編號</t>
    <phoneticPr fontId="3" type="noConversion"/>
  </si>
  <si>
    <t>國際組織/研討會名稱</t>
    <phoneticPr fontId="3" type="noConversion"/>
  </si>
  <si>
    <t>IAPB (International Agency for Prevention of Blindness)</t>
  </si>
  <si>
    <t>IABS (International Alliance for Biological Standardization)</t>
  </si>
  <si>
    <t>IAPO (International Alliance of Patients' Organizations)</t>
  </si>
  <si>
    <t>ICBDSR (International Clearinghouse for Birth Defects)</t>
  </si>
  <si>
    <t>ICNIRP (International Commission Non-Ionizing Radiation)</t>
  </si>
  <si>
    <t>ICRP (International Commission on Radiological Protection)</t>
  </si>
  <si>
    <t>ICCBBA (International Council Blood Bank Automation)</t>
  </si>
  <si>
    <t>ICSH (International Council Standardization in Haematology)</t>
  </si>
  <si>
    <t>IPPNW (International Physicians for Prevention Nuclear War)</t>
  </si>
  <si>
    <t>ISBRA (International Society Biomedical Research on Alcoholism)</t>
  </si>
  <si>
    <t>ISEE (International Society for Environmental Epidemiology)</t>
  </si>
  <si>
    <t>IUSTI (International Union against Sexually Transmitted Infections)</t>
  </si>
  <si>
    <t>LCI (The International Association of Lions Clubs)</t>
  </si>
  <si>
    <t>IFFS (International Federation of Fertility Societies)</t>
  </si>
  <si>
    <t>ILDS (International League of Dermatological Societies)</t>
  </si>
  <si>
    <t>ISBI (International Society for Burn Injuries)</t>
  </si>
  <si>
    <t>ISQua (International Society for Quality in Health Care)</t>
  </si>
  <si>
    <t>ISBT (International Society of Blood Transfusion)</t>
  </si>
  <si>
    <t>SIOP (International Society of Paediatric Oncology)</t>
  </si>
  <si>
    <t>WCRF (World Cancer Research Fund International)</t>
  </si>
  <si>
    <t>IRC (International Rescue Committee, Inc.)</t>
  </si>
  <si>
    <t>KEI (Knowledge Ecology International, Inc.)</t>
  </si>
  <si>
    <t>MOD (March of Dimes Inc.)</t>
  </si>
  <si>
    <t>RAD-AID (RAD-AID International, Inc.)</t>
  </si>
  <si>
    <t>RTSL (Resolve to Save Lives, Inc.)</t>
  </si>
  <si>
    <t>The Carter Center (The Carter Center, Inc.)</t>
  </si>
  <si>
    <t>PopCouncil (The Population Council, Inc.)</t>
  </si>
  <si>
    <t>TFGH (The Task Force for Global Health, Inc.)</t>
  </si>
  <si>
    <t>UNF (United Nations Foundation Inc.)</t>
  </si>
  <si>
    <t>Vital Strategies (Vital Strategies, Inc.)</t>
  </si>
  <si>
    <t>WD (Women Deliver, Inc.)</t>
  </si>
  <si>
    <t>WGH (Women in Global Health, Inc.)</t>
  </si>
  <si>
    <t>無固定學術徵稿</t>
    <phoneticPr fontId="3" type="noConversion"/>
  </si>
  <si>
    <t>WFME (World Federation for Medical Education)</t>
    <phoneticPr fontId="3" type="noConversion"/>
  </si>
  <si>
    <t>歷年慣例徵稿週期(起始月)</t>
    <phoneticPr fontId="3" type="noConversion"/>
  </si>
  <si>
    <t>依官網專案公告(無慣例會期)</t>
    <phoneticPr fontId="3" type="noConversion"/>
  </si>
  <si>
    <t>三/四年一度世界大會(無慣例會期)</t>
    <phoneticPr fontId="3" type="noConversion"/>
  </si>
  <si>
    <t>無固定學術徵稿</t>
    <phoneticPr fontId="3" type="noConversion"/>
  </si>
  <si>
    <t>AIFO ETS (Italian AsSociety of Friends of Raoul Follereau)</t>
  </si>
  <si>
    <t>ACAME (AsSociety of Africaine des Centrales d'Achats)</t>
  </si>
  <si>
    <t>ASSITEB-BIORIF (AsSociety of International des Technologistes)</t>
  </si>
  <si>
    <t>EuroSafe (European AsSociety of for Injury Prevention)</t>
  </si>
  <si>
    <t>IACAPAP (International AsSociety of Child/Adolescent Psychiatry)</t>
  </si>
  <si>
    <t>IASSIDD (International AsSociety of Scientific Study International Disabilities)</t>
  </si>
  <si>
    <t>IALP (International AsSociety of Communication Sciences/Disorders)</t>
  </si>
  <si>
    <t>ILEP (International Federation Anti-Leprosy AsSociety of)</t>
  </si>
  <si>
    <t>ISPCAN (International Society of Prevention Child Abuse)</t>
  </si>
  <si>
    <t>ISRRT (International Society of Radiographers/Radiological Tech)</t>
  </si>
  <si>
    <t>WASPaLM (World AsSociety of Societies of Pathology)</t>
  </si>
  <si>
    <t>IFBLS (International Federation of Biomedical Laboratory Science)</t>
  </si>
  <si>
    <t>IFHIMA (International Federation of Health Information Management)</t>
  </si>
  <si>
    <t>IFMSA (International Federation of Medical Students' Associations)</t>
  </si>
  <si>
    <t>IFOS (International Federation of Oto-Rhino-Laryngological Societies)</t>
  </si>
  <si>
    <t>IFPMA (International Federation of Pharmaceutical Manufacturers)</t>
  </si>
  <si>
    <t>IFSCS (International Federation of Surgical Colleges and Societies)</t>
  </si>
  <si>
    <t>WFME (World Federation of for Medical Education)</t>
  </si>
  <si>
    <t>WFAS (World Federation of Acupuncture Societies)</t>
  </si>
  <si>
    <t>WFCMS (World Federation of Chinese Medicine Societies)</t>
  </si>
  <si>
    <t>FEMTEC (World Federation of Hydro/Climatotherapy)</t>
  </si>
  <si>
    <t>WFNS (World Federation of Neurosurgical Societies)</t>
  </si>
  <si>
    <t>WFOT (World Federation of Occupational Therapists)</t>
  </si>
  <si>
    <t>WFPHA (World Federation of Public Health AsSociety of)</t>
  </si>
  <si>
    <t>WFSA (World Federation of Societies Anaesthesiologists)</t>
  </si>
  <si>
    <t>WFSGI (World Federation of Sporting Goods Industry)</t>
  </si>
  <si>
    <t>C.I. (Caritas Internationalis)</t>
    <phoneticPr fontId="3" type="noConversion"/>
  </si>
  <si>
    <t>CIOMS (Council for International Organizations of Medical Sciences)</t>
    <phoneticPr fontId="3" type="noConversion"/>
  </si>
  <si>
    <t>IOMP (International Organization for Medical Physics)</t>
    <phoneticPr fontId="3" type="noConversion"/>
  </si>
  <si>
    <t>ICMART (International Committee Monitoring Reproductive Technologies)</t>
    <phoneticPr fontId="3" type="noConversion"/>
  </si>
  <si>
    <t>Gates Foundation (Bill and Melinda Gates Foundation)</t>
  </si>
  <si>
    <t>DITTA (Global Diagnostic Imaging and IT Trade Assoc)</t>
  </si>
  <si>
    <t>IAHPC (International AsSociety of Hospice and Palliative Care)</t>
  </si>
  <si>
    <t>IFMBE (International Federation of Medical and Biological Engineering)</t>
  </si>
  <si>
    <t>IFCC (International Federation of Clinical Chemistry and Lab Medicine)</t>
  </si>
  <si>
    <t>FIGO (International Federation of Gynecology and Obstetrics)</t>
  </si>
  <si>
    <t>IGBA (International Generic and Biosimilar Medicines Assoc)</t>
  </si>
  <si>
    <t>INCHES (International Network Children's Health and Safety)</t>
  </si>
  <si>
    <t>ISfTeH (International Society for Telemedicine and eHealth)</t>
  </si>
  <si>
    <t>ISPRM (International Society of Physical and Rehab Medicine)</t>
  </si>
  <si>
    <t>ISTH (International Society Thrombosis and Haemostasis)</t>
  </si>
  <si>
    <t>The Union (International Union Against TB and Lung Disease)</t>
  </si>
  <si>
    <t>IUHPE (International Union Health Promotion and Education)</t>
  </si>
  <si>
    <t>IUPHAR (International Union Basic and Clinical Pharmacology)</t>
  </si>
  <si>
    <t>ISPO (International Society Prosthetics and Orthotics)</t>
  </si>
  <si>
    <t>WFUMB (World Federation of Ultrasound Med and Biology)</t>
  </si>
  <si>
    <t>WFNMB (World Federation of Nuclear Med and Biology)</t>
  </si>
  <si>
    <t>SICOT (International Society of Orthopaedic Surgery and Traumatology)</t>
    <phoneticPr fontId="3" type="noConversion"/>
  </si>
  <si>
    <t>12月</t>
    <phoneticPr fontId="3" type="noConversion"/>
  </si>
  <si>
    <t>2月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</si>
</sst>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0"/>
      <color rgb="FF000000"/>
      <name val="Microsoft JhengHei"/>
      <family val="2"/>
      <charset val="136"/>
    </font>
    <font>
      <b/>
      <sz val="11"/>
      <color rgb="FFFFFF00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tabSelected="1" zoomScale="85" zoomScaleNormal="85" workbookViewId="0">
      <pane ySplit="1" topLeftCell="A100" activePane="bottomLeft" state="frozen"/>
      <selection pane="bottomLeft" activeCell="B103" sqref="B103"/>
    </sheetView>
  </sheetViews>
  <sheetFormatPr defaultRowHeight="15"/>
  <cols>
    <col min="1" max="1" width="8" customWidth="1"/>
    <col min="2" max="2" width="73.5" customWidth="1"/>
    <col min="3" max="3" width="21.625" customWidth="1"/>
    <col min="4" max="4" width="31.75" customWidth="1"/>
    <col min="5" max="5" width="26.625" customWidth="1"/>
    <col min="6" max="6" width="32.5" customWidth="1"/>
    <col min="7" max="7" width="21.5" customWidth="1"/>
    <col min="8" max="8" width="32" customWidth="1"/>
    <col min="9" max="9" width="42" customWidth="1"/>
    <col min="10" max="10" width="40" customWidth="1"/>
    <col min="11" max="12" width="45" customWidth="1"/>
  </cols>
  <sheetData>
    <row r="1" spans="1:12" ht="30" customHeight="1">
      <c r="A1" s="4" t="s">
        <v>662</v>
      </c>
      <c r="B1" s="4" t="s">
        <v>663</v>
      </c>
      <c r="C1" s="4" t="s">
        <v>651</v>
      </c>
      <c r="D1" s="4" t="s">
        <v>698</v>
      </c>
      <c r="E1" s="4" t="s">
        <v>624</v>
      </c>
      <c r="F1" s="5" t="s">
        <v>647</v>
      </c>
      <c r="G1" s="5" t="s">
        <v>650</v>
      </c>
      <c r="H1" s="5" t="s">
        <v>661</v>
      </c>
      <c r="I1" s="4" t="s">
        <v>0</v>
      </c>
      <c r="J1" s="4" t="s">
        <v>1</v>
      </c>
      <c r="K1" s="4" t="s">
        <v>2</v>
      </c>
      <c r="L1" s="4" t="s">
        <v>3</v>
      </c>
    </row>
    <row r="2" spans="1:12" ht="72" customHeight="1">
      <c r="A2" s="1" t="s">
        <v>4</v>
      </c>
      <c r="B2" s="2" t="s">
        <v>660</v>
      </c>
      <c r="C2" s="1" t="s">
        <v>655</v>
      </c>
      <c r="D2" s="1" t="s">
        <v>701</v>
      </c>
      <c r="E2" s="1" t="s">
        <v>625</v>
      </c>
      <c r="F2" s="1" t="str">
        <f>"https://www.google.com/search?q="&amp;B2&amp;"+最近公告會期"</f>
        <v>https://www.google.com/search?q=ACF (Action Against Hunger)+最近公告會期</v>
      </c>
      <c r="G2" s="1" t="str">
        <f>"https://www.google.com/search?q="&amp;B2&amp;"+最近公告徵稿截止日期"</f>
        <v>https://www.google.com/search?q=ACF (Action Against Hunger)+最近公告徵稿截止日期</v>
      </c>
      <c r="H2" s="1" t="str">
        <f>"https://www.google.com/search?q="&amp;SUBSTITUTE(B2," ","+")&amp;"+official+website"</f>
        <v>https://www.google.com/search?q=ACF+(Action+Against+Hunger)+official+website</v>
      </c>
      <c r="I2" s="2" t="s">
        <v>5</v>
      </c>
      <c r="J2" s="3" t="s">
        <v>623</v>
      </c>
      <c r="K2" s="2" t="s">
        <v>7</v>
      </c>
      <c r="L2" s="2" t="s">
        <v>8</v>
      </c>
    </row>
    <row r="3" spans="1:12" ht="72" customHeight="1">
      <c r="A3" s="1" t="s">
        <v>9</v>
      </c>
      <c r="B3" s="2" t="s">
        <v>10</v>
      </c>
      <c r="C3" s="1" t="s">
        <v>655</v>
      </c>
      <c r="D3" s="1" t="s">
        <v>625</v>
      </c>
      <c r="E3" s="1" t="s">
        <v>625</v>
      </c>
      <c r="F3" s="1" t="str">
        <f t="shared" ref="F3:F66" si="0">"https://www.google.com/search?q="&amp;B3&amp;"+最近公告會期"</f>
        <v>https://www.google.com/search?q=AKF (Aga Khan Foundation)+最近公告會期</v>
      </c>
      <c r="G3" s="1" t="str">
        <f t="shared" ref="G3:G66" si="1">"https://www.google.com/search?q="&amp;B3&amp;"+最近公告徵稿截止日期"</f>
        <v>https://www.google.com/search?q=AKF (Aga Khan Foundation)+最近公告徵稿截止日期</v>
      </c>
      <c r="H3" s="1" t="str">
        <f t="shared" ref="H3:H66" si="2">"https://www.google.com/search?q="&amp;SUBSTITUTE(B3," ","+")&amp;"+official+website"</f>
        <v>https://www.google.com/search?q=AKF+(Aga+Khan+Foundation)+official+website</v>
      </c>
      <c r="I3" s="2" t="s">
        <v>11</v>
      </c>
      <c r="J3" s="2" t="s">
        <v>12</v>
      </c>
      <c r="K3" s="2" t="s">
        <v>7</v>
      </c>
      <c r="L3" s="2" t="s">
        <v>8</v>
      </c>
    </row>
    <row r="4" spans="1:12" ht="72" customHeight="1">
      <c r="A4" s="1" t="s">
        <v>13</v>
      </c>
      <c r="B4" s="2" t="s">
        <v>702</v>
      </c>
      <c r="C4" s="1" t="s">
        <v>655</v>
      </c>
      <c r="D4" s="1" t="s">
        <v>625</v>
      </c>
      <c r="E4" s="1" t="s">
        <v>625</v>
      </c>
      <c r="F4" s="1" t="str">
        <f t="shared" si="0"/>
        <v>https://www.google.com/search?q=AIFO ETS (Italian AsSociety of Friends of Raoul Follereau)+最近公告會期</v>
      </c>
      <c r="G4" s="1" t="str">
        <f t="shared" si="1"/>
        <v>https://www.google.com/search?q=AIFO ETS (Italian AsSociety of Friends of Raoul Follereau)+最近公告徵稿截止日期</v>
      </c>
      <c r="H4" s="1" t="str">
        <f t="shared" si="2"/>
        <v>https://www.google.com/search?q=AIFO+ETS+(Italian+AsSociety+of+Friends+of+Raoul+Follereau)+official+website</v>
      </c>
      <c r="I4" s="2" t="s">
        <v>14</v>
      </c>
      <c r="J4" s="2" t="s">
        <v>6</v>
      </c>
      <c r="K4" s="2" t="s">
        <v>7</v>
      </c>
      <c r="L4" s="2" t="s">
        <v>8</v>
      </c>
    </row>
    <row r="5" spans="1:12" ht="72" customHeight="1">
      <c r="A5" s="1" t="s">
        <v>15</v>
      </c>
      <c r="B5" s="2" t="s">
        <v>16</v>
      </c>
      <c r="C5" s="1" t="s">
        <v>628</v>
      </c>
      <c r="D5" s="1" t="s">
        <v>626</v>
      </c>
      <c r="E5" s="1" t="s">
        <v>627</v>
      </c>
      <c r="F5" s="1" t="str">
        <f t="shared" si="0"/>
        <v>https://www.google.com/search?q=A4HP (Alliance for Health Promotion)+最近公告會期</v>
      </c>
      <c r="G5" s="1" t="str">
        <f t="shared" si="1"/>
        <v>https://www.google.com/search?q=A4HP (Alliance for Health Promotion)+最近公告徵稿截止日期</v>
      </c>
      <c r="H5" s="1" t="str">
        <f t="shared" si="2"/>
        <v>https://www.google.com/search?q=A4HP+(Alliance+for+Health+Promotion)+official+website</v>
      </c>
      <c r="I5" s="2" t="s">
        <v>17</v>
      </c>
      <c r="J5" s="2" t="s">
        <v>18</v>
      </c>
      <c r="K5" s="2" t="s">
        <v>19</v>
      </c>
      <c r="L5" s="2" t="s">
        <v>20</v>
      </c>
    </row>
    <row r="6" spans="1:12" ht="72" customHeight="1">
      <c r="A6" s="1" t="s">
        <v>21</v>
      </c>
      <c r="B6" s="2" t="s">
        <v>22</v>
      </c>
      <c r="C6" s="1" t="s">
        <v>631</v>
      </c>
      <c r="D6" s="1" t="s">
        <v>629</v>
      </c>
      <c r="E6" s="1" t="s">
        <v>630</v>
      </c>
      <c r="F6" s="1" t="str">
        <f t="shared" si="0"/>
        <v>https://www.google.com/search?q=ADI (Alzheimer's Disease International)+最近公告會期</v>
      </c>
      <c r="G6" s="1" t="str">
        <f t="shared" si="1"/>
        <v>https://www.google.com/search?q=ADI (Alzheimer's Disease International)+最近公告徵稿截止日期</v>
      </c>
      <c r="H6" s="1" t="str">
        <f t="shared" si="2"/>
        <v>https://www.google.com/search?q=ADI+(Alzheimer's+Disease+International)+official+website</v>
      </c>
      <c r="I6" s="2" t="s">
        <v>23</v>
      </c>
      <c r="J6" s="2" t="s">
        <v>24</v>
      </c>
      <c r="K6" s="2" t="s">
        <v>7</v>
      </c>
      <c r="L6" s="2" t="s">
        <v>8</v>
      </c>
    </row>
    <row r="7" spans="1:12" ht="72" customHeight="1">
      <c r="A7" s="1" t="s">
        <v>25</v>
      </c>
      <c r="B7" s="2" t="s">
        <v>26</v>
      </c>
      <c r="C7" s="1" t="s">
        <v>630</v>
      </c>
      <c r="D7" s="1" t="s">
        <v>632</v>
      </c>
      <c r="E7" s="1" t="s">
        <v>633</v>
      </c>
      <c r="F7" s="1" t="str">
        <f t="shared" si="0"/>
        <v>https://www.google.com/search?q=ASRM (American Society for Reproductive Medicine)+最近公告會期</v>
      </c>
      <c r="G7" s="1" t="str">
        <f t="shared" si="1"/>
        <v>https://www.google.com/search?q=ASRM (American Society for Reproductive Medicine)+最近公告徵稿截止日期</v>
      </c>
      <c r="H7" s="1" t="str">
        <f t="shared" si="2"/>
        <v>https://www.google.com/search?q=ASRM+(American+Society+for+Reproductive+Medicine)+official+website</v>
      </c>
      <c r="I7" s="2" t="s">
        <v>27</v>
      </c>
      <c r="J7" s="2" t="s">
        <v>28</v>
      </c>
      <c r="K7" s="2" t="s">
        <v>7</v>
      </c>
      <c r="L7" s="2" t="s">
        <v>8</v>
      </c>
    </row>
    <row r="8" spans="1:12" ht="72" customHeight="1">
      <c r="A8" s="1" t="s">
        <v>29</v>
      </c>
      <c r="B8" s="2" t="s">
        <v>30</v>
      </c>
      <c r="C8" s="1" t="s">
        <v>636</v>
      </c>
      <c r="D8" s="1" t="s">
        <v>634</v>
      </c>
      <c r="E8" s="1" t="s">
        <v>635</v>
      </c>
      <c r="F8" s="1" t="str">
        <f t="shared" si="0"/>
        <v>https://www.google.com/search?q=Amref (Amref Health Africa)+最近公告會期</v>
      </c>
      <c r="G8" s="1" t="str">
        <f t="shared" si="1"/>
        <v>https://www.google.com/search?q=Amref (Amref Health Africa)+最近公告徵稿截止日期</v>
      </c>
      <c r="H8" s="1" t="str">
        <f t="shared" si="2"/>
        <v>https://www.google.com/search?q=Amref+(Amref+Health+Africa)+official+website</v>
      </c>
      <c r="I8" s="2" t="s">
        <v>31</v>
      </c>
      <c r="J8" s="2" t="s">
        <v>6</v>
      </c>
      <c r="K8" s="2" t="s">
        <v>7</v>
      </c>
      <c r="L8" s="2" t="s">
        <v>8</v>
      </c>
    </row>
    <row r="9" spans="1:12" ht="72" customHeight="1">
      <c r="A9" s="1" t="s">
        <v>32</v>
      </c>
      <c r="B9" s="2" t="s">
        <v>33</v>
      </c>
      <c r="C9" s="1" t="s">
        <v>655</v>
      </c>
      <c r="D9" s="1" t="s">
        <v>625</v>
      </c>
      <c r="E9" s="1" t="s">
        <v>625</v>
      </c>
      <c r="F9" s="1" t="str">
        <f t="shared" si="0"/>
        <v>https://www.google.com/search?q=Anesvad (Anesvad Foundation)+最近公告會期</v>
      </c>
      <c r="G9" s="1" t="str">
        <f t="shared" si="1"/>
        <v>https://www.google.com/search?q=Anesvad (Anesvad Foundation)+最近公告徵稿截止日期</v>
      </c>
      <c r="H9" s="1" t="str">
        <f t="shared" si="2"/>
        <v>https://www.google.com/search?q=Anesvad+(Anesvad+Foundation)+official+website</v>
      </c>
      <c r="I9" s="2" t="s">
        <v>34</v>
      </c>
      <c r="J9" s="2" t="s">
        <v>12</v>
      </c>
      <c r="K9" s="2" t="s">
        <v>7</v>
      </c>
      <c r="L9" s="2" t="s">
        <v>8</v>
      </c>
    </row>
    <row r="10" spans="1:12" ht="72" customHeight="1">
      <c r="A10" s="1" t="s">
        <v>35</v>
      </c>
      <c r="B10" s="2" t="s">
        <v>703</v>
      </c>
      <c r="C10" s="1" t="s">
        <v>637</v>
      </c>
      <c r="D10" s="1" t="s">
        <v>635</v>
      </c>
      <c r="E10" s="1" t="s">
        <v>626</v>
      </c>
      <c r="F10" s="1" t="str">
        <f t="shared" si="0"/>
        <v>https://www.google.com/search?q=ACAME (AsSociety of Africaine des Centrales d'Achats)+最近公告會期</v>
      </c>
      <c r="G10" s="1" t="str">
        <f t="shared" si="1"/>
        <v>https://www.google.com/search?q=ACAME (AsSociety of Africaine des Centrales d'Achats)+最近公告徵稿截止日期</v>
      </c>
      <c r="H10" s="1" t="str">
        <f t="shared" si="2"/>
        <v>https://www.google.com/search?q=ACAME+(AsSociety+of+Africaine+des+Centrales+d'Achats)+official+website</v>
      </c>
      <c r="I10" s="2" t="s">
        <v>36</v>
      </c>
      <c r="J10" s="2" t="s">
        <v>37</v>
      </c>
      <c r="K10" s="2" t="s">
        <v>38</v>
      </c>
      <c r="L10" s="2" t="s">
        <v>8</v>
      </c>
    </row>
    <row r="11" spans="1:12" ht="72" customHeight="1">
      <c r="A11" s="1" t="s">
        <v>39</v>
      </c>
      <c r="B11" s="2" t="s">
        <v>704</v>
      </c>
      <c r="C11" s="1" t="s">
        <v>655</v>
      </c>
      <c r="D11" s="1" t="s">
        <v>625</v>
      </c>
      <c r="E11" s="1" t="s">
        <v>625</v>
      </c>
      <c r="F11" s="1" t="str">
        <f t="shared" si="0"/>
        <v>https://www.google.com/search?q=ASSITEB-BIORIF (AsSociety of International des Technologistes)+最近公告會期</v>
      </c>
      <c r="G11" s="1" t="str">
        <f t="shared" si="1"/>
        <v>https://www.google.com/search?q=ASSITEB-BIORIF (AsSociety of International des Technologistes)+最近公告徵稿截止日期</v>
      </c>
      <c r="H11" s="1" t="str">
        <f t="shared" si="2"/>
        <v>https://www.google.com/search?q=ASSITEB-BIORIF+(AsSociety+of+International+des+Technologistes)+official+website</v>
      </c>
      <c r="I11" s="2" t="s">
        <v>40</v>
      </c>
      <c r="J11" s="2" t="s">
        <v>41</v>
      </c>
      <c r="K11" s="2" t="s">
        <v>7</v>
      </c>
      <c r="L11" s="2" t="s">
        <v>8</v>
      </c>
    </row>
    <row r="12" spans="1:12" ht="72" customHeight="1">
      <c r="A12" s="1" t="s">
        <v>42</v>
      </c>
      <c r="B12" s="2" t="s">
        <v>728</v>
      </c>
      <c r="C12" s="1" t="s">
        <v>652</v>
      </c>
      <c r="D12" s="1" t="s">
        <v>625</v>
      </c>
      <c r="E12" s="1" t="s">
        <v>625</v>
      </c>
      <c r="F12" s="1" t="str">
        <f t="shared" si="0"/>
        <v>https://www.google.com/search?q=C.I. (Caritas Internationalis)+最近公告會期</v>
      </c>
      <c r="G12" s="1" t="str">
        <f t="shared" si="1"/>
        <v>https://www.google.com/search?q=C.I. (Caritas Internationalis)+最近公告徵稿截止日期</v>
      </c>
      <c r="H12" s="1" t="str">
        <f t="shared" si="2"/>
        <v>https://www.google.com/search?q=C.I.+(Caritas+Internationalis)+official+website</v>
      </c>
      <c r="I12" s="2" t="s">
        <v>43</v>
      </c>
      <c r="J12" s="2" t="s">
        <v>6</v>
      </c>
      <c r="K12" s="2" t="s">
        <v>7</v>
      </c>
      <c r="L12" s="2" t="s">
        <v>8</v>
      </c>
    </row>
    <row r="13" spans="1:12" ht="72" customHeight="1">
      <c r="A13" s="1" t="s">
        <v>44</v>
      </c>
      <c r="B13" s="2" t="s">
        <v>45</v>
      </c>
      <c r="C13" s="1" t="s">
        <v>655</v>
      </c>
      <c r="D13" s="1" t="s">
        <v>625</v>
      </c>
      <c r="E13" s="1" t="s">
        <v>625</v>
      </c>
      <c r="F13" s="1" t="str">
        <f t="shared" si="0"/>
        <v>https://www.google.com/search?q=CBM (Christian Blind Mission)+最近公告會期</v>
      </c>
      <c r="G13" s="1" t="str">
        <f t="shared" si="1"/>
        <v>https://www.google.com/search?q=CBM (Christian Blind Mission)+最近公告徵稿截止日期</v>
      </c>
      <c r="H13" s="1" t="str">
        <f t="shared" si="2"/>
        <v>https://www.google.com/search?q=CBM+(Christian+Blind+Mission)+official+website</v>
      </c>
      <c r="I13" s="2" t="s">
        <v>46</v>
      </c>
      <c r="J13" s="2" t="s">
        <v>47</v>
      </c>
      <c r="K13" s="2" t="s">
        <v>7</v>
      </c>
      <c r="L13" s="2" t="s">
        <v>8</v>
      </c>
    </row>
    <row r="14" spans="1:12" ht="72" customHeight="1">
      <c r="A14" s="1" t="s">
        <v>48</v>
      </c>
      <c r="B14" s="2" t="s">
        <v>49</v>
      </c>
      <c r="C14" s="1" t="s">
        <v>638</v>
      </c>
      <c r="D14" s="1" t="s">
        <v>626</v>
      </c>
      <c r="E14" s="1" t="s">
        <v>633</v>
      </c>
      <c r="F14" s="1" t="str">
        <f t="shared" si="0"/>
        <v>https://www.google.com/search?q=CCI (Childhood Cancer International)+最近公告會期</v>
      </c>
      <c r="G14" s="1" t="str">
        <f t="shared" si="1"/>
        <v>https://www.google.com/search?q=CCI (Childhood Cancer International)+最近公告徵稿截止日期</v>
      </c>
      <c r="H14" s="1" t="str">
        <f t="shared" si="2"/>
        <v>https://www.google.com/search?q=CCI+(Childhood+Cancer+International)+official+website</v>
      </c>
      <c r="I14" s="2" t="s">
        <v>50</v>
      </c>
      <c r="J14" s="2" t="s">
        <v>51</v>
      </c>
      <c r="K14" s="2" t="s">
        <v>7</v>
      </c>
      <c r="L14" s="2" t="s">
        <v>52</v>
      </c>
    </row>
    <row r="15" spans="1:12" ht="72" customHeight="1">
      <c r="A15" s="1" t="s">
        <v>53</v>
      </c>
      <c r="B15" s="2" t="s">
        <v>54</v>
      </c>
      <c r="C15" s="1" t="s">
        <v>655</v>
      </c>
      <c r="D15" s="1" t="s">
        <v>625</v>
      </c>
      <c r="E15" s="1" t="s">
        <v>625</v>
      </c>
      <c r="F15" s="1" t="str">
        <f t="shared" si="0"/>
        <v>https://www.google.com/search?q=CHAI (Clinton Health Access Initiative)+最近公告會期</v>
      </c>
      <c r="G15" s="1" t="str">
        <f t="shared" si="1"/>
        <v>https://www.google.com/search?q=CHAI (Clinton Health Access Initiative)+最近公告徵稿截止日期</v>
      </c>
      <c r="H15" s="1" t="str">
        <f t="shared" si="2"/>
        <v>https://www.google.com/search?q=CHAI+(Clinton+Health+Access+Initiative)+official+website</v>
      </c>
      <c r="I15" s="2" t="s">
        <v>55</v>
      </c>
      <c r="J15" s="2" t="s">
        <v>56</v>
      </c>
      <c r="K15" s="2" t="s">
        <v>57</v>
      </c>
      <c r="L15" s="2" t="s">
        <v>58</v>
      </c>
    </row>
    <row r="16" spans="1:12" ht="72" customHeight="1">
      <c r="A16" s="1" t="s">
        <v>59</v>
      </c>
      <c r="B16" s="2" t="s">
        <v>60</v>
      </c>
      <c r="C16" s="1" t="s">
        <v>652</v>
      </c>
      <c r="D16" s="1" t="s">
        <v>625</v>
      </c>
      <c r="E16" s="1" t="s">
        <v>625</v>
      </c>
      <c r="F16" s="1" t="str">
        <f t="shared" si="0"/>
        <v>https://www.google.com/search?q=CI (Consumers International)+最近公告會期</v>
      </c>
      <c r="G16" s="1" t="str">
        <f t="shared" si="1"/>
        <v>https://www.google.com/search?q=CI (Consumers International)+最近公告徵稿截止日期</v>
      </c>
      <c r="H16" s="1" t="str">
        <f t="shared" si="2"/>
        <v>https://www.google.com/search?q=CI+(Consumers+International)+official+website</v>
      </c>
      <c r="I16" s="2" t="s">
        <v>43</v>
      </c>
      <c r="J16" s="2" t="s">
        <v>6</v>
      </c>
      <c r="K16" s="2" t="s">
        <v>7</v>
      </c>
      <c r="L16" s="2" t="s">
        <v>8</v>
      </c>
    </row>
    <row r="17" spans="1:12" ht="72" customHeight="1">
      <c r="A17" s="1" t="s">
        <v>61</v>
      </c>
      <c r="B17" s="2" t="s">
        <v>62</v>
      </c>
      <c r="C17" s="1" t="s">
        <v>655</v>
      </c>
      <c r="D17" s="1" t="s">
        <v>625</v>
      </c>
      <c r="E17" s="1" t="s">
        <v>625</v>
      </c>
      <c r="F17" s="1" t="str">
        <f t="shared" si="0"/>
        <v>https://www.google.com/search?q=CA (Corporate Accountability)+最近公告會期</v>
      </c>
      <c r="G17" s="1" t="str">
        <f t="shared" si="1"/>
        <v>https://www.google.com/search?q=CA (Corporate Accountability)+最近公告徵稿截止日期</v>
      </c>
      <c r="H17" s="1" t="str">
        <f t="shared" si="2"/>
        <v>https://www.google.com/search?q=CA+(Corporate+Accountability)+official+website</v>
      </c>
      <c r="I17" s="2" t="s">
        <v>63</v>
      </c>
      <c r="J17" s="2" t="s">
        <v>6</v>
      </c>
      <c r="K17" s="2" t="s">
        <v>7</v>
      </c>
      <c r="L17" s="2" t="s">
        <v>8</v>
      </c>
    </row>
    <row r="18" spans="1:12" ht="72" customHeight="1">
      <c r="A18" s="1" t="s">
        <v>64</v>
      </c>
      <c r="B18" s="2" t="s">
        <v>729</v>
      </c>
      <c r="C18" s="1" t="s">
        <v>656</v>
      </c>
      <c r="D18" s="1" t="s">
        <v>625</v>
      </c>
      <c r="E18" s="1" t="s">
        <v>625</v>
      </c>
      <c r="F18" s="1" t="str">
        <f t="shared" si="0"/>
        <v>https://www.google.com/search?q=CIOMS (Council for International Organizations of Medical Sciences)+最近公告會期</v>
      </c>
      <c r="G18" s="1" t="str">
        <f t="shared" si="1"/>
        <v>https://www.google.com/search?q=CIOMS (Council for International Organizations of Medical Sciences)+最近公告徵稿截止日期</v>
      </c>
      <c r="H18" s="1" t="str">
        <f t="shared" si="2"/>
        <v>https://www.google.com/search?q=CIOMS+(Council+for+International+Organizations+of+Medical+Sciences)+official+website</v>
      </c>
      <c r="I18" s="2" t="s">
        <v>65</v>
      </c>
      <c r="J18" s="2" t="s">
        <v>56</v>
      </c>
      <c r="K18" s="2" t="s">
        <v>38</v>
      </c>
      <c r="L18" s="2" t="s">
        <v>58</v>
      </c>
    </row>
    <row r="19" spans="1:12" ht="72" customHeight="1">
      <c r="A19" s="1" t="s">
        <v>66</v>
      </c>
      <c r="B19" s="2" t="s">
        <v>67</v>
      </c>
      <c r="C19" s="1" t="s">
        <v>655</v>
      </c>
      <c r="D19" s="1" t="s">
        <v>625</v>
      </c>
      <c r="E19" s="1" t="s">
        <v>625</v>
      </c>
      <c r="F19" s="1" t="str">
        <f t="shared" si="0"/>
        <v>https://www.google.com/search?q=CropLife (CropLife International)+最近公告會期</v>
      </c>
      <c r="G19" s="1" t="str">
        <f t="shared" si="1"/>
        <v>https://www.google.com/search?q=CropLife (CropLife International)+最近公告徵稿截止日期</v>
      </c>
      <c r="H19" s="1" t="str">
        <f t="shared" si="2"/>
        <v>https://www.google.com/search?q=CropLife+(CropLife+International)+official+website</v>
      </c>
      <c r="I19" s="2" t="s">
        <v>68</v>
      </c>
      <c r="J19" s="2" t="s">
        <v>69</v>
      </c>
      <c r="K19" s="2" t="s">
        <v>7</v>
      </c>
      <c r="L19" s="2" t="s">
        <v>8</v>
      </c>
    </row>
    <row r="20" spans="1:12" ht="72" customHeight="1">
      <c r="A20" s="1" t="s">
        <v>70</v>
      </c>
      <c r="B20" s="2" t="s">
        <v>71</v>
      </c>
      <c r="C20" s="1" t="s">
        <v>657</v>
      </c>
      <c r="D20" s="1" t="s">
        <v>625</v>
      </c>
      <c r="E20" s="1" t="s">
        <v>625</v>
      </c>
      <c r="F20" s="1" t="str">
        <f t="shared" si="0"/>
        <v>https://www.google.com/search?q=DNDi (Drugs for Neglected Diseases initiative)+最近公告會期</v>
      </c>
      <c r="G20" s="1" t="str">
        <f t="shared" si="1"/>
        <v>https://www.google.com/search?q=DNDi (Drugs for Neglected Diseases initiative)+最近公告徵稿截止日期</v>
      </c>
      <c r="H20" s="1" t="str">
        <f t="shared" si="2"/>
        <v>https://www.google.com/search?q=DNDi+(Drugs+for+Neglected+Diseases+initiative)+official+website</v>
      </c>
      <c r="I20" s="2" t="s">
        <v>72</v>
      </c>
      <c r="J20" s="2" t="s">
        <v>73</v>
      </c>
      <c r="K20" s="2" t="s">
        <v>38</v>
      </c>
      <c r="L20" s="2" t="s">
        <v>8</v>
      </c>
    </row>
    <row r="21" spans="1:12" ht="72" customHeight="1">
      <c r="A21" s="1" t="s">
        <v>74</v>
      </c>
      <c r="B21" s="2" t="s">
        <v>705</v>
      </c>
      <c r="C21" s="1" t="s">
        <v>639</v>
      </c>
      <c r="D21" s="1" t="s">
        <v>632</v>
      </c>
      <c r="E21" s="1" t="s">
        <v>633</v>
      </c>
      <c r="F21" s="1" t="str">
        <f t="shared" si="0"/>
        <v>https://www.google.com/search?q=EuroSafe (European AsSociety of for Injury Prevention)+最近公告會期</v>
      </c>
      <c r="G21" s="1" t="str">
        <f t="shared" si="1"/>
        <v>https://www.google.com/search?q=EuroSafe (European AsSociety of for Injury Prevention)+最近公告徵稿截止日期</v>
      </c>
      <c r="H21" s="1" t="str">
        <f t="shared" si="2"/>
        <v>https://www.google.com/search?q=EuroSafe+(European+AsSociety+of+for+Injury+Prevention)+official+website</v>
      </c>
      <c r="I21" s="2" t="s">
        <v>75</v>
      </c>
      <c r="J21" s="2" t="s">
        <v>56</v>
      </c>
      <c r="K21" s="2" t="s">
        <v>7</v>
      </c>
      <c r="L21" s="2" t="s">
        <v>58</v>
      </c>
    </row>
    <row r="22" spans="1:12" ht="72" customHeight="1">
      <c r="A22" s="1" t="s">
        <v>76</v>
      </c>
      <c r="B22" s="2" t="s">
        <v>77</v>
      </c>
      <c r="C22" s="1" t="s">
        <v>638</v>
      </c>
      <c r="D22" s="1" t="s">
        <v>627</v>
      </c>
      <c r="E22" s="1" t="s">
        <v>628</v>
      </c>
      <c r="F22" s="1" t="str">
        <f t="shared" si="0"/>
        <v>https://www.google.com/search?q=ESMO (European Society for Medical Oncology)+最近公告會期</v>
      </c>
      <c r="G22" s="1" t="str">
        <f t="shared" si="1"/>
        <v>https://www.google.com/search?q=ESMO (European Society for Medical Oncology)+最近公告徵稿截止日期</v>
      </c>
      <c r="H22" s="1" t="str">
        <f t="shared" si="2"/>
        <v>https://www.google.com/search?q=ESMO+(European+Society+for+Medical+Oncology)+official+website</v>
      </c>
      <c r="I22" s="2" t="s">
        <v>78</v>
      </c>
      <c r="J22" s="2" t="s">
        <v>51</v>
      </c>
      <c r="K22" s="2" t="s">
        <v>7</v>
      </c>
      <c r="L22" s="2" t="s">
        <v>52</v>
      </c>
    </row>
    <row r="23" spans="1:12" ht="72" customHeight="1">
      <c r="A23" s="1" t="s">
        <v>79</v>
      </c>
      <c r="B23" s="2" t="s">
        <v>80</v>
      </c>
      <c r="C23" s="1" t="s">
        <v>655</v>
      </c>
      <c r="D23" s="1" t="s">
        <v>625</v>
      </c>
      <c r="E23" s="1" t="s">
        <v>625</v>
      </c>
      <c r="F23" s="1" t="str">
        <f t="shared" si="0"/>
        <v>https://www.google.com/search?q=FHI 360 (Family Health International)+最近公告會期</v>
      </c>
      <c r="G23" s="1" t="str">
        <f t="shared" si="1"/>
        <v>https://www.google.com/search?q=FHI 360 (Family Health International)+最近公告徵稿截止日期</v>
      </c>
      <c r="H23" s="1" t="str">
        <f t="shared" si="2"/>
        <v>https://www.google.com/search?q=FHI+360+(Family+Health+International)+official+website</v>
      </c>
      <c r="I23" s="2" t="s">
        <v>81</v>
      </c>
      <c r="J23" s="2" t="s">
        <v>56</v>
      </c>
      <c r="K23" s="2" t="s">
        <v>7</v>
      </c>
      <c r="L23" s="2" t="s">
        <v>58</v>
      </c>
    </row>
    <row r="24" spans="1:12" ht="72" customHeight="1">
      <c r="A24" s="1" t="s">
        <v>82</v>
      </c>
      <c r="B24" s="2" t="s">
        <v>83</v>
      </c>
      <c r="C24" s="1" t="s">
        <v>638</v>
      </c>
      <c r="D24" s="1" t="s">
        <v>626</v>
      </c>
      <c r="E24" s="1" t="s">
        <v>633</v>
      </c>
      <c r="F24" s="1" t="str">
        <f t="shared" si="0"/>
        <v>https://www.google.com/search?q=FDI (FDI World Dental Federation)+最近公告會期</v>
      </c>
      <c r="G24" s="1" t="str">
        <f t="shared" si="1"/>
        <v>https://www.google.com/search?q=FDI (FDI World Dental Federation)+最近公告徵稿截止日期</v>
      </c>
      <c r="H24" s="1" t="str">
        <f t="shared" si="2"/>
        <v>https://www.google.com/search?q=FDI+(FDI+World+Dental+Federation)+official+website</v>
      </c>
      <c r="I24" s="2" t="s">
        <v>84</v>
      </c>
      <c r="J24" s="2" t="s">
        <v>85</v>
      </c>
      <c r="K24" s="2" t="s">
        <v>86</v>
      </c>
      <c r="L24" s="2" t="s">
        <v>8</v>
      </c>
    </row>
    <row r="25" spans="1:12" ht="72" customHeight="1">
      <c r="A25" s="1" t="s">
        <v>87</v>
      </c>
      <c r="B25" s="2" t="s">
        <v>88</v>
      </c>
      <c r="C25" s="1" t="s">
        <v>655</v>
      </c>
      <c r="D25" s="1" t="s">
        <v>625</v>
      </c>
      <c r="E25" s="1" t="s">
        <v>625</v>
      </c>
      <c r="F25" s="1" t="str">
        <f t="shared" si="0"/>
        <v>https://www.google.com/search?q=Botnar (Fondation Botnar)+最近公告會期</v>
      </c>
      <c r="G25" s="1" t="str">
        <f t="shared" si="1"/>
        <v>https://www.google.com/search?q=Botnar (Fondation Botnar)+最近公告徵稿截止日期</v>
      </c>
      <c r="H25" s="1" t="str">
        <f t="shared" si="2"/>
        <v>https://www.google.com/search?q=Botnar+(Fondation+Botnar)+official+website</v>
      </c>
      <c r="I25" s="2" t="s">
        <v>89</v>
      </c>
      <c r="J25" s="2" t="s">
        <v>56</v>
      </c>
      <c r="K25" s="2" t="s">
        <v>7</v>
      </c>
      <c r="L25" s="2" t="s">
        <v>58</v>
      </c>
    </row>
    <row r="26" spans="1:12" ht="72" customHeight="1">
      <c r="A26" s="1" t="s">
        <v>90</v>
      </c>
      <c r="B26" s="2" t="s">
        <v>732</v>
      </c>
      <c r="C26" s="1" t="s">
        <v>655</v>
      </c>
      <c r="D26" s="1" t="s">
        <v>625</v>
      </c>
      <c r="E26" s="1" t="s">
        <v>625</v>
      </c>
      <c r="F26" s="1" t="str">
        <f t="shared" si="0"/>
        <v>https://www.google.com/search?q=Gates Foundation (Bill and Melinda Gates Foundation)+最近公告會期</v>
      </c>
      <c r="G26" s="1" t="str">
        <f t="shared" si="1"/>
        <v>https://www.google.com/search?q=Gates Foundation (Bill and Melinda Gates Foundation)+最近公告徵稿截止日期</v>
      </c>
      <c r="H26" s="1" t="str">
        <f t="shared" si="2"/>
        <v>https://www.google.com/search?q=Gates+Foundation+(Bill+and+Melinda+Gates+Foundation)+official+website</v>
      </c>
      <c r="I26" s="2" t="s">
        <v>11</v>
      </c>
      <c r="J26" s="2" t="s">
        <v>12</v>
      </c>
      <c r="K26" s="2" t="s">
        <v>7</v>
      </c>
      <c r="L26" s="2" t="s">
        <v>8</v>
      </c>
    </row>
    <row r="27" spans="1:12" ht="72" customHeight="1">
      <c r="A27" s="1" t="s">
        <v>91</v>
      </c>
      <c r="B27" s="2" t="s">
        <v>92</v>
      </c>
      <c r="C27" s="1" t="s">
        <v>655</v>
      </c>
      <c r="D27" s="1" t="s">
        <v>625</v>
      </c>
      <c r="E27" s="1" t="s">
        <v>625</v>
      </c>
      <c r="F27" s="1" t="str">
        <f t="shared" si="0"/>
        <v>https://www.google.com/search?q=GAIN (Global Alliance for Improved Nutrition)+最近公告會期</v>
      </c>
      <c r="G27" s="1" t="str">
        <f t="shared" si="1"/>
        <v>https://www.google.com/search?q=GAIN (Global Alliance for Improved Nutrition)+最近公告徵稿截止日期</v>
      </c>
      <c r="H27" s="1" t="str">
        <f t="shared" si="2"/>
        <v>https://www.google.com/search?q=GAIN+(Global+Alliance+for+Improved+Nutrition)+official+website</v>
      </c>
      <c r="I27" s="2" t="s">
        <v>93</v>
      </c>
      <c r="J27" s="2" t="s">
        <v>94</v>
      </c>
      <c r="K27" s="2" t="s">
        <v>95</v>
      </c>
      <c r="L27" s="2" t="s">
        <v>8</v>
      </c>
    </row>
    <row r="28" spans="1:12" ht="72" customHeight="1">
      <c r="A28" s="1" t="s">
        <v>96</v>
      </c>
      <c r="B28" s="2" t="s">
        <v>97</v>
      </c>
      <c r="C28" s="1" t="s">
        <v>655</v>
      </c>
      <c r="D28" s="1" t="s">
        <v>625</v>
      </c>
      <c r="E28" s="1" t="s">
        <v>625</v>
      </c>
      <c r="F28" s="1" t="str">
        <f t="shared" si="0"/>
        <v>https://www.google.com/search?q=GATC (Global Alliance for Tobacco Control)+最近公告會期</v>
      </c>
      <c r="G28" s="1" t="str">
        <f t="shared" si="1"/>
        <v>https://www.google.com/search?q=GATC (Global Alliance for Tobacco Control)+最近公告徵稿截止日期</v>
      </c>
      <c r="H28" s="1" t="str">
        <f t="shared" si="2"/>
        <v>https://www.google.com/search?q=GATC+(Global+Alliance+for+Tobacco+Control)+official+website</v>
      </c>
      <c r="I28" s="2" t="s">
        <v>17</v>
      </c>
      <c r="J28" s="2" t="s">
        <v>18</v>
      </c>
      <c r="K28" s="2" t="s">
        <v>19</v>
      </c>
      <c r="L28" s="2" t="s">
        <v>20</v>
      </c>
    </row>
    <row r="29" spans="1:12" ht="72" customHeight="1">
      <c r="A29" s="1" t="s">
        <v>98</v>
      </c>
      <c r="B29" s="2" t="s">
        <v>733</v>
      </c>
      <c r="C29" s="1" t="s">
        <v>655</v>
      </c>
      <c r="D29" s="1" t="s">
        <v>625</v>
      </c>
      <c r="E29" s="1" t="s">
        <v>625</v>
      </c>
      <c r="F29" s="1" t="str">
        <f t="shared" si="0"/>
        <v>https://www.google.com/search?q=DITTA (Global Diagnostic Imaging and IT Trade Assoc)+最近公告會期</v>
      </c>
      <c r="G29" s="1" t="str">
        <f t="shared" si="1"/>
        <v>https://www.google.com/search?q=DITTA (Global Diagnostic Imaging and IT Trade Assoc)+最近公告徵稿截止日期</v>
      </c>
      <c r="H29" s="1" t="str">
        <f t="shared" si="2"/>
        <v>https://www.google.com/search?q=DITTA+(Global+Diagnostic+Imaging+and+IT+Trade+Assoc)+official+website</v>
      </c>
      <c r="I29" s="2" t="s">
        <v>99</v>
      </c>
      <c r="J29" s="2" t="s">
        <v>100</v>
      </c>
      <c r="K29" s="2" t="s">
        <v>101</v>
      </c>
      <c r="L29" s="2" t="s">
        <v>8</v>
      </c>
    </row>
    <row r="30" spans="1:12" ht="72" customHeight="1">
      <c r="A30" s="1" t="s">
        <v>102</v>
      </c>
      <c r="B30" s="2" t="s">
        <v>103</v>
      </c>
      <c r="C30" s="1" t="s">
        <v>655</v>
      </c>
      <c r="D30" s="1" t="s">
        <v>625</v>
      </c>
      <c r="E30" s="1" t="s">
        <v>625</v>
      </c>
      <c r="F30" s="1" t="str">
        <f t="shared" si="0"/>
        <v>https://www.google.com/search?q=GHC (Global Health Council)+最近公告會期</v>
      </c>
      <c r="G30" s="1" t="str">
        <f t="shared" si="1"/>
        <v>https://www.google.com/search?q=GHC (Global Health Council)+最近公告徵稿截止日期</v>
      </c>
      <c r="H30" s="1" t="str">
        <f t="shared" si="2"/>
        <v>https://www.google.com/search?q=GHC+(Global+Health+Council)+official+website</v>
      </c>
      <c r="I30" s="2" t="s">
        <v>104</v>
      </c>
      <c r="J30" s="2" t="s">
        <v>56</v>
      </c>
      <c r="K30" s="2" t="s">
        <v>7</v>
      </c>
      <c r="L30" s="2" t="s">
        <v>58</v>
      </c>
    </row>
    <row r="31" spans="1:12" ht="72" customHeight="1">
      <c r="A31" s="1" t="s">
        <v>105</v>
      </c>
      <c r="B31" s="2" t="s">
        <v>106</v>
      </c>
      <c r="C31" s="1" t="s">
        <v>655</v>
      </c>
      <c r="D31" s="1" t="s">
        <v>625</v>
      </c>
      <c r="E31" s="1" t="s">
        <v>625</v>
      </c>
      <c r="F31" s="1" t="str">
        <f t="shared" si="0"/>
        <v>https://www.google.com/search?q=GHI-Net (Global Healthcare Information Network)+最近公告會期</v>
      </c>
      <c r="G31" s="1" t="str">
        <f t="shared" si="1"/>
        <v>https://www.google.com/search?q=GHI-Net (Global Healthcare Information Network)+最近公告徵稿截止日期</v>
      </c>
      <c r="H31" s="1" t="str">
        <f t="shared" si="2"/>
        <v>https://www.google.com/search?q=GHI-Net+(Global+Healthcare+Information+Network)+official+website</v>
      </c>
      <c r="I31" s="2" t="s">
        <v>107</v>
      </c>
      <c r="J31" s="2" t="s">
        <v>56</v>
      </c>
      <c r="K31" s="2" t="s">
        <v>7</v>
      </c>
      <c r="L31" s="2" t="s">
        <v>58</v>
      </c>
    </row>
    <row r="32" spans="1:12" ht="72" customHeight="1">
      <c r="A32" s="1" t="s">
        <v>108</v>
      </c>
      <c r="B32" s="2" t="s">
        <v>109</v>
      </c>
      <c r="C32" s="1" t="s">
        <v>655</v>
      </c>
      <c r="D32" s="1" t="s">
        <v>625</v>
      </c>
      <c r="E32" s="1" t="s">
        <v>625</v>
      </c>
      <c r="F32" s="1" t="str">
        <f t="shared" si="0"/>
        <v>https://www.google.com/search?q=GMTA (Global Medical Technology Alliance)+最近公告會期</v>
      </c>
      <c r="G32" s="1" t="str">
        <f t="shared" si="1"/>
        <v>https://www.google.com/search?q=GMTA (Global Medical Technology Alliance)+最近公告徵稿截止日期</v>
      </c>
      <c r="H32" s="1" t="str">
        <f t="shared" si="2"/>
        <v>https://www.google.com/search?q=GMTA+(Global+Medical+Technology+Alliance)+official+website</v>
      </c>
      <c r="I32" s="2" t="s">
        <v>55</v>
      </c>
      <c r="J32" s="2" t="s">
        <v>56</v>
      </c>
      <c r="K32" s="2" t="s">
        <v>57</v>
      </c>
      <c r="L32" s="2" t="s">
        <v>58</v>
      </c>
    </row>
    <row r="33" spans="1:12" ht="72" customHeight="1">
      <c r="A33" s="1" t="s">
        <v>110</v>
      </c>
      <c r="B33" s="2" t="s">
        <v>111</v>
      </c>
      <c r="C33" s="1" t="s">
        <v>655</v>
      </c>
      <c r="D33" s="1" t="s">
        <v>625</v>
      </c>
      <c r="E33" s="1" t="s">
        <v>625</v>
      </c>
      <c r="F33" s="1" t="str">
        <f t="shared" si="0"/>
        <v>https://www.google.com/search?q=GSCF (Global Self-Care Federation)+最近公告會期</v>
      </c>
      <c r="G33" s="1" t="str">
        <f t="shared" si="1"/>
        <v>https://www.google.com/search?q=GSCF (Global Self-Care Federation)+最近公告徵稿截止日期</v>
      </c>
      <c r="H33" s="1" t="str">
        <f t="shared" si="2"/>
        <v>https://www.google.com/search?q=GSCF+(Global+Self-Care+Federation)+official+website</v>
      </c>
      <c r="I33" s="2" t="s">
        <v>112</v>
      </c>
      <c r="J33" s="2" t="s">
        <v>113</v>
      </c>
      <c r="K33" s="2" t="s">
        <v>38</v>
      </c>
      <c r="L33" s="2" t="s">
        <v>8</v>
      </c>
    </row>
    <row r="34" spans="1:12" ht="72" customHeight="1">
      <c r="A34" s="1" t="s">
        <v>114</v>
      </c>
      <c r="B34" s="2" t="s">
        <v>115</v>
      </c>
      <c r="C34" s="1" t="s">
        <v>655</v>
      </c>
      <c r="D34" s="1" t="s">
        <v>625</v>
      </c>
      <c r="E34" s="1" t="s">
        <v>625</v>
      </c>
      <c r="F34" s="1" t="str">
        <f t="shared" si="0"/>
        <v>https://www.google.com/search?q=GCC (Grand Challenges Canada)+最近公告會期</v>
      </c>
      <c r="G34" s="1" t="str">
        <f t="shared" si="1"/>
        <v>https://www.google.com/search?q=GCC (Grand Challenges Canada)+最近公告徵稿截止日期</v>
      </c>
      <c r="H34" s="1" t="str">
        <f t="shared" si="2"/>
        <v>https://www.google.com/search?q=GCC+(Grand+Challenges+Canada)+official+website</v>
      </c>
      <c r="I34" s="2" t="s">
        <v>116</v>
      </c>
      <c r="J34" s="2" t="s">
        <v>12</v>
      </c>
      <c r="K34" s="2" t="s">
        <v>7</v>
      </c>
      <c r="L34" s="2" t="s">
        <v>8</v>
      </c>
    </row>
    <row r="35" spans="1:12" ht="72" customHeight="1">
      <c r="A35" s="1" t="s">
        <v>117</v>
      </c>
      <c r="B35" s="2" t="s">
        <v>118</v>
      </c>
      <c r="C35" s="1" t="s">
        <v>655</v>
      </c>
      <c r="D35" s="1" t="s">
        <v>625</v>
      </c>
      <c r="E35" s="1" t="s">
        <v>625</v>
      </c>
      <c r="F35" s="1" t="str">
        <f t="shared" si="0"/>
        <v>https://www.google.com/search?q=HI (Handicap International Federation)+最近公告會期</v>
      </c>
      <c r="G35" s="1" t="str">
        <f t="shared" si="1"/>
        <v>https://www.google.com/search?q=HI (Handicap International Federation)+最近公告徵稿截止日期</v>
      </c>
      <c r="H35" s="1" t="str">
        <f t="shared" si="2"/>
        <v>https://www.google.com/search?q=HI+(Handicap+International+Federation)+official+website</v>
      </c>
      <c r="I35" s="2" t="s">
        <v>119</v>
      </c>
      <c r="J35" s="2" t="s">
        <v>120</v>
      </c>
      <c r="K35" s="2" t="s">
        <v>7</v>
      </c>
      <c r="L35" s="2" t="s">
        <v>8</v>
      </c>
    </row>
    <row r="36" spans="1:12" ht="72" customHeight="1">
      <c r="A36" s="1" t="s">
        <v>121</v>
      </c>
      <c r="B36" s="2" t="s">
        <v>122</v>
      </c>
      <c r="C36" s="1" t="s">
        <v>629</v>
      </c>
      <c r="D36" s="1" t="s">
        <v>640</v>
      </c>
      <c r="E36" s="1" t="s">
        <v>641</v>
      </c>
      <c r="F36" s="1" t="str">
        <f t="shared" si="0"/>
        <v>https://www.google.com/search?q=HTAi (Health Technology Assessment international)+最近公告會期</v>
      </c>
      <c r="G36" s="1" t="str">
        <f t="shared" si="1"/>
        <v>https://www.google.com/search?q=HTAi (Health Technology Assessment international)+最近公告徵稿截止日期</v>
      </c>
      <c r="H36" s="1" t="str">
        <f t="shared" si="2"/>
        <v>https://www.google.com/search?q=HTAi+(Health+Technology+Assessment+international)+official+website</v>
      </c>
      <c r="I36" s="2" t="s">
        <v>55</v>
      </c>
      <c r="J36" s="2" t="s">
        <v>56</v>
      </c>
      <c r="K36" s="2" t="s">
        <v>57</v>
      </c>
      <c r="L36" s="2" t="s">
        <v>58</v>
      </c>
    </row>
    <row r="37" spans="1:12" ht="72" customHeight="1">
      <c r="A37" s="1" t="s">
        <v>123</v>
      </c>
      <c r="B37" s="2" t="s">
        <v>124</v>
      </c>
      <c r="C37" s="1" t="s">
        <v>655</v>
      </c>
      <c r="D37" s="1" t="s">
        <v>625</v>
      </c>
      <c r="E37" s="1" t="s">
        <v>625</v>
      </c>
      <c r="F37" s="1" t="str">
        <f t="shared" si="0"/>
        <v>https://www.google.com/search?q=HKI (Helen Keller International)+最近公告會期</v>
      </c>
      <c r="G37" s="1" t="str">
        <f t="shared" si="1"/>
        <v>https://www.google.com/search?q=HKI (Helen Keller International)+最近公告徵稿截止日期</v>
      </c>
      <c r="H37" s="1" t="str">
        <f t="shared" si="2"/>
        <v>https://www.google.com/search?q=HKI+(Helen+Keller+International)+official+website</v>
      </c>
      <c r="I37" s="2" t="s">
        <v>125</v>
      </c>
      <c r="J37" s="2" t="s">
        <v>126</v>
      </c>
      <c r="K37" s="2" t="s">
        <v>95</v>
      </c>
      <c r="L37" s="2" t="s">
        <v>8</v>
      </c>
    </row>
    <row r="38" spans="1:12" ht="72" customHeight="1">
      <c r="A38" s="1" t="s">
        <v>127</v>
      </c>
      <c r="B38" s="2" t="s">
        <v>128</v>
      </c>
      <c r="C38" s="1" t="s">
        <v>655</v>
      </c>
      <c r="D38" s="1" t="s">
        <v>625</v>
      </c>
      <c r="E38" s="1" t="s">
        <v>625</v>
      </c>
      <c r="F38" s="1" t="str">
        <f t="shared" si="0"/>
        <v>https://www.google.com/search?q=HelpAge (HelpAge International)+最近公告會期</v>
      </c>
      <c r="G38" s="1" t="str">
        <f t="shared" si="1"/>
        <v>https://www.google.com/search?q=HelpAge (HelpAge International)+最近公告徵稿截止日期</v>
      </c>
      <c r="H38" s="1" t="str">
        <f t="shared" si="2"/>
        <v>https://www.google.com/search?q=HelpAge+(HelpAge+International)+official+website</v>
      </c>
      <c r="I38" s="2" t="s">
        <v>129</v>
      </c>
      <c r="J38" s="2" t="s">
        <v>130</v>
      </c>
      <c r="K38" s="2" t="s">
        <v>7</v>
      </c>
      <c r="L38" s="2" t="s">
        <v>8</v>
      </c>
    </row>
    <row r="39" spans="1:12" ht="72" customHeight="1">
      <c r="A39" s="1" t="s">
        <v>131</v>
      </c>
      <c r="B39" s="2" t="s">
        <v>132</v>
      </c>
      <c r="C39" s="1" t="s">
        <v>655</v>
      </c>
      <c r="D39" s="1" t="s">
        <v>625</v>
      </c>
      <c r="E39" s="1" t="s">
        <v>625</v>
      </c>
      <c r="F39" s="1" t="str">
        <f t="shared" si="0"/>
        <v>https://www.google.com/search?q=Humatem (Humatem)+最近公告會期</v>
      </c>
      <c r="G39" s="1" t="str">
        <f t="shared" si="1"/>
        <v>https://www.google.com/search?q=Humatem (Humatem)+最近公告徵稿截止日期</v>
      </c>
      <c r="H39" s="1" t="str">
        <f t="shared" si="2"/>
        <v>https://www.google.com/search?q=Humatem+(Humatem)+official+website</v>
      </c>
      <c r="I39" s="2" t="s">
        <v>55</v>
      </c>
      <c r="J39" s="2" t="s">
        <v>56</v>
      </c>
      <c r="K39" s="2" t="s">
        <v>57</v>
      </c>
      <c r="L39" s="2" t="s">
        <v>58</v>
      </c>
    </row>
    <row r="40" spans="1:12" ht="72" customHeight="1">
      <c r="A40" s="1" t="s">
        <v>133</v>
      </c>
      <c r="B40" s="2" t="s">
        <v>664</v>
      </c>
      <c r="C40" s="1" t="s">
        <v>658</v>
      </c>
      <c r="D40" s="1" t="s">
        <v>625</v>
      </c>
      <c r="E40" s="1" t="s">
        <v>625</v>
      </c>
      <c r="F40" s="1" t="str">
        <f t="shared" si="0"/>
        <v>https://www.google.com/search?q=IAPB (International Agency for Prevention of Blindness)+最近公告會期</v>
      </c>
      <c r="G40" s="1" t="str">
        <f t="shared" si="1"/>
        <v>https://www.google.com/search?q=IAPB (International Agency for Prevention of Blindness)+最近公告徵稿截止日期</v>
      </c>
      <c r="H40" s="1" t="str">
        <f t="shared" si="2"/>
        <v>https://www.google.com/search?q=IAPB+(International+Agency+for+Prevention+of+Blindness)+official+website</v>
      </c>
      <c r="I40" s="2" t="s">
        <v>134</v>
      </c>
      <c r="J40" s="2" t="s">
        <v>135</v>
      </c>
      <c r="K40" s="2" t="s">
        <v>7</v>
      </c>
      <c r="L40" s="2" t="s">
        <v>8</v>
      </c>
    </row>
    <row r="41" spans="1:12" ht="72" customHeight="1">
      <c r="A41" s="1" t="s">
        <v>136</v>
      </c>
      <c r="B41" s="2" t="s">
        <v>137</v>
      </c>
      <c r="C41" s="1" t="s">
        <v>634</v>
      </c>
      <c r="D41" s="1" t="s">
        <v>635</v>
      </c>
      <c r="E41" s="1" t="s">
        <v>632</v>
      </c>
      <c r="F41" s="1" t="str">
        <f t="shared" si="0"/>
        <v>https://www.google.com/search?q=IAS (International AIDS Society)+最近公告會期</v>
      </c>
      <c r="G41" s="1" t="str">
        <f t="shared" si="1"/>
        <v>https://www.google.com/search?q=IAS (International AIDS Society)+最近公告徵稿截止日期</v>
      </c>
      <c r="H41" s="1" t="str">
        <f t="shared" si="2"/>
        <v>https://www.google.com/search?q=IAS+(International+AIDS+Society)+official+website</v>
      </c>
      <c r="I41" s="2" t="s">
        <v>138</v>
      </c>
      <c r="J41" s="2" t="s">
        <v>139</v>
      </c>
      <c r="K41" s="2" t="s">
        <v>7</v>
      </c>
      <c r="L41" s="2" t="s">
        <v>8</v>
      </c>
    </row>
    <row r="42" spans="1:12" ht="72" customHeight="1">
      <c r="A42" s="1" t="s">
        <v>140</v>
      </c>
      <c r="B42" s="2" t="s">
        <v>141</v>
      </c>
      <c r="C42" s="1" t="s">
        <v>655</v>
      </c>
      <c r="D42" s="1" t="s">
        <v>625</v>
      </c>
      <c r="E42" s="1" t="s">
        <v>625</v>
      </c>
      <c r="F42" s="1" t="str">
        <f t="shared" si="0"/>
        <v>https://www.google.com/search?q=IATA (International Air Transport Association)+最近公告會期</v>
      </c>
      <c r="G42" s="1" t="str">
        <f t="shared" si="1"/>
        <v>https://www.google.com/search?q=IATA (International Air Transport Association)+最近公告徵稿截止日期</v>
      </c>
      <c r="H42" s="1" t="str">
        <f t="shared" si="2"/>
        <v>https://www.google.com/search?q=IATA+(International+Air+Transport+Association)+official+website</v>
      </c>
      <c r="I42" s="2" t="s">
        <v>142</v>
      </c>
      <c r="J42" s="2" t="s">
        <v>69</v>
      </c>
      <c r="K42" s="2" t="s">
        <v>7</v>
      </c>
      <c r="L42" s="2" t="s">
        <v>8</v>
      </c>
    </row>
    <row r="43" spans="1:12" ht="72" customHeight="1">
      <c r="A43" s="1" t="s">
        <v>143</v>
      </c>
      <c r="B43" s="2" t="s">
        <v>665</v>
      </c>
      <c r="C43" s="1" t="s">
        <v>659</v>
      </c>
      <c r="D43" s="1" t="s">
        <v>625</v>
      </c>
      <c r="E43" s="1" t="s">
        <v>625</v>
      </c>
      <c r="F43" s="1" t="str">
        <f t="shared" si="0"/>
        <v>https://www.google.com/search?q=IABS (International Alliance for Biological Standardization)+最近公告會期</v>
      </c>
      <c r="G43" s="1" t="str">
        <f t="shared" si="1"/>
        <v>https://www.google.com/search?q=IABS (International Alliance for Biological Standardization)+最近公告徵稿截止日期</v>
      </c>
      <c r="H43" s="1" t="str">
        <f t="shared" si="2"/>
        <v>https://www.google.com/search?q=IABS+(International+Alliance+for+Biological+Standardization)+official+website</v>
      </c>
      <c r="I43" s="2" t="s">
        <v>144</v>
      </c>
      <c r="J43" s="2" t="s">
        <v>145</v>
      </c>
      <c r="K43" s="2" t="s">
        <v>38</v>
      </c>
      <c r="L43" s="2" t="s">
        <v>8</v>
      </c>
    </row>
    <row r="44" spans="1:12" ht="72" customHeight="1">
      <c r="A44" s="1" t="s">
        <v>146</v>
      </c>
      <c r="B44" s="2" t="s">
        <v>666</v>
      </c>
      <c r="C44" s="1" t="s">
        <v>655</v>
      </c>
      <c r="D44" s="1" t="s">
        <v>625</v>
      </c>
      <c r="E44" s="1" t="s">
        <v>625</v>
      </c>
      <c r="F44" s="1" t="str">
        <f t="shared" si="0"/>
        <v>https://www.google.com/search?q=IAPO (International Alliance of Patients' Organizations)+最近公告會期</v>
      </c>
      <c r="G44" s="1" t="str">
        <f t="shared" si="1"/>
        <v>https://www.google.com/search?q=IAPO (International Alliance of Patients' Organizations)+最近公告徵稿截止日期</v>
      </c>
      <c r="H44" s="1" t="str">
        <f t="shared" si="2"/>
        <v>https://www.google.com/search?q=IAPO+(International+Alliance+of+Patients'+Organizations)+official+website</v>
      </c>
      <c r="I44" s="2" t="s">
        <v>55</v>
      </c>
      <c r="J44" s="2" t="s">
        <v>56</v>
      </c>
      <c r="K44" s="2" t="s">
        <v>57</v>
      </c>
      <c r="L44" s="2" t="s">
        <v>58</v>
      </c>
    </row>
    <row r="45" spans="1:12" ht="72" customHeight="1">
      <c r="A45" s="1" t="s">
        <v>147</v>
      </c>
      <c r="B45" s="2" t="s">
        <v>706</v>
      </c>
      <c r="C45" s="1" t="s">
        <v>643</v>
      </c>
      <c r="D45" s="1" t="s">
        <v>642</v>
      </c>
      <c r="E45" s="1" t="s">
        <v>626</v>
      </c>
      <c r="F45" s="1" t="str">
        <f t="shared" si="0"/>
        <v>https://www.google.com/search?q=IACAPAP (International AsSociety of Child/Adolescent Psychiatry)+最近公告會期</v>
      </c>
      <c r="G45" s="1" t="str">
        <f t="shared" si="1"/>
        <v>https://www.google.com/search?q=IACAPAP (International AsSociety of Child/Adolescent Psychiatry)+最近公告徵稿截止日期</v>
      </c>
      <c r="H45" s="1" t="str">
        <f t="shared" si="2"/>
        <v>https://www.google.com/search?q=IACAPAP+(International+AsSociety+of+Child/Adolescent+Psychiatry)+official+website</v>
      </c>
      <c r="I45" s="2" t="s">
        <v>148</v>
      </c>
      <c r="J45" s="2" t="s">
        <v>149</v>
      </c>
      <c r="K45" s="2" t="s">
        <v>7</v>
      </c>
      <c r="L45" s="2" t="s">
        <v>8</v>
      </c>
    </row>
    <row r="46" spans="1:12" ht="72" customHeight="1">
      <c r="A46" s="1" t="s">
        <v>150</v>
      </c>
      <c r="B46" s="2" t="s">
        <v>151</v>
      </c>
      <c r="C46" s="1" t="s">
        <v>644</v>
      </c>
      <c r="D46" s="1" t="s">
        <v>642</v>
      </c>
      <c r="E46" s="1" t="s">
        <v>626</v>
      </c>
      <c r="F46" s="1" t="str">
        <f t="shared" si="0"/>
        <v>https://www.google.com/search?q=IADR (International Association for Dental Research)+最近公告會期</v>
      </c>
      <c r="G46" s="1" t="str">
        <f t="shared" si="1"/>
        <v>https://www.google.com/search?q=IADR (International Association for Dental Research)+最近公告徵稿截止日期</v>
      </c>
      <c r="H46" s="1" t="str">
        <f t="shared" si="2"/>
        <v>https://www.google.com/search?q=IADR+(International+Association+for+Dental+Research)+official+website</v>
      </c>
      <c r="I46" s="2" t="s">
        <v>84</v>
      </c>
      <c r="J46" s="2" t="s">
        <v>85</v>
      </c>
      <c r="K46" s="2" t="s">
        <v>86</v>
      </c>
      <c r="L46" s="2" t="s">
        <v>8</v>
      </c>
    </row>
    <row r="47" spans="1:12" ht="72" customHeight="1">
      <c r="A47" s="1" t="s">
        <v>152</v>
      </c>
      <c r="B47" s="2" t="s">
        <v>734</v>
      </c>
      <c r="C47" s="1" t="s">
        <v>655</v>
      </c>
      <c r="D47" s="1" t="s">
        <v>625</v>
      </c>
      <c r="E47" s="1" t="s">
        <v>625</v>
      </c>
      <c r="F47" s="1" t="str">
        <f t="shared" si="0"/>
        <v>https://www.google.com/search?q=IAHPC (International AsSociety of Hospice and Palliative Care)+最近公告會期</v>
      </c>
      <c r="G47" s="1" t="str">
        <f t="shared" si="1"/>
        <v>https://www.google.com/search?q=IAHPC (International AsSociety of Hospice and Palliative Care)+最近公告徵稿截止日期</v>
      </c>
      <c r="H47" s="1" t="str">
        <f t="shared" si="2"/>
        <v>https://www.google.com/search?q=IAHPC+(International+AsSociety+of+Hospice+and+Palliative+Care)+official+website</v>
      </c>
      <c r="I47" s="2" t="s">
        <v>153</v>
      </c>
      <c r="J47" s="2" t="s">
        <v>154</v>
      </c>
      <c r="K47" s="2" t="s">
        <v>7</v>
      </c>
      <c r="L47" s="2" t="s">
        <v>8</v>
      </c>
    </row>
    <row r="48" spans="1:12" ht="72" customHeight="1">
      <c r="A48" s="1" t="s">
        <v>155</v>
      </c>
      <c r="B48" s="2" t="s">
        <v>156</v>
      </c>
      <c r="C48" s="1" t="s">
        <v>645</v>
      </c>
      <c r="D48" s="1" t="s">
        <v>635</v>
      </c>
      <c r="E48" s="1" t="s">
        <v>627</v>
      </c>
      <c r="F48" s="1" t="str">
        <f t="shared" si="0"/>
        <v>https://www.google.com/search?q=IASP (International Association for Suicide Prevention)+最近公告會期</v>
      </c>
      <c r="G48" s="1" t="str">
        <f t="shared" si="1"/>
        <v>https://www.google.com/search?q=IASP (International Association for Suicide Prevention)+最近公告徵稿截止日期</v>
      </c>
      <c r="H48" s="1" t="str">
        <f t="shared" si="2"/>
        <v>https://www.google.com/search?q=IASP+(International+Association+for+Suicide+Prevention)+official+website</v>
      </c>
      <c r="I48" s="2" t="s">
        <v>157</v>
      </c>
      <c r="J48" s="2" t="s">
        <v>158</v>
      </c>
      <c r="K48" s="2" t="s">
        <v>7</v>
      </c>
      <c r="L48" s="2" t="s">
        <v>8</v>
      </c>
    </row>
    <row r="49" spans="1:12" ht="72" customHeight="1">
      <c r="A49" s="1" t="s">
        <v>159</v>
      </c>
      <c r="B49" s="2" t="s">
        <v>707</v>
      </c>
      <c r="C49" s="1" t="s">
        <v>653</v>
      </c>
      <c r="D49" s="1" t="s">
        <v>625</v>
      </c>
      <c r="E49" s="1" t="s">
        <v>625</v>
      </c>
      <c r="F49" s="1" t="str">
        <f t="shared" si="0"/>
        <v>https://www.google.com/search?q=IASSIDD (International AsSociety of Scientific Study International Disabilities)+最近公告會期</v>
      </c>
      <c r="G49" s="1" t="str">
        <f t="shared" si="1"/>
        <v>https://www.google.com/search?q=IASSIDD (International AsSociety of Scientific Study International Disabilities)+最近公告徵稿截止日期</v>
      </c>
      <c r="H49" s="1" t="str">
        <f t="shared" si="2"/>
        <v>https://www.google.com/search?q=IASSIDD+(International+AsSociety+of+Scientific+Study+International+Disabilities)+official+website</v>
      </c>
      <c r="I49" s="2" t="s">
        <v>160</v>
      </c>
      <c r="J49" s="2" t="s">
        <v>161</v>
      </c>
      <c r="K49" s="2" t="s">
        <v>7</v>
      </c>
      <c r="L49" s="2" t="s">
        <v>8</v>
      </c>
    </row>
    <row r="50" spans="1:12" ht="72" customHeight="1">
      <c r="A50" s="1" t="s">
        <v>162</v>
      </c>
      <c r="B50" s="2" t="s">
        <v>163</v>
      </c>
      <c r="C50" s="1" t="s">
        <v>646</v>
      </c>
      <c r="D50" s="1" t="s">
        <v>640</v>
      </c>
      <c r="E50" s="1" t="s">
        <v>626</v>
      </c>
      <c r="F50" s="1" t="str">
        <f t="shared" si="0"/>
        <v>https://www.google.com/search?q=IASP (International Association for the Study of Pain)+最近公告會期</v>
      </c>
      <c r="G50" s="1" t="str">
        <f t="shared" si="1"/>
        <v>https://www.google.com/search?q=IASP (International Association for the Study of Pain)+最近公告徵稿截止日期</v>
      </c>
      <c r="H50" s="1" t="str">
        <f t="shared" si="2"/>
        <v>https://www.google.com/search?q=IASP+(International+Association+for+the+Study+of+Pain)+official+website</v>
      </c>
      <c r="I50" s="2" t="s">
        <v>164</v>
      </c>
      <c r="J50" s="2" t="s">
        <v>165</v>
      </c>
      <c r="K50" s="2" t="s">
        <v>7</v>
      </c>
      <c r="L50" s="2" t="s">
        <v>8</v>
      </c>
    </row>
    <row r="51" spans="1:12" ht="72" customHeight="1">
      <c r="A51" s="1" t="s">
        <v>166</v>
      </c>
      <c r="B51" s="2" t="s">
        <v>708</v>
      </c>
      <c r="C51" s="1" t="s">
        <v>654</v>
      </c>
      <c r="D51" s="1" t="s">
        <v>625</v>
      </c>
      <c r="E51" s="1" t="s">
        <v>625</v>
      </c>
      <c r="F51" s="1" t="str">
        <f t="shared" si="0"/>
        <v>https://www.google.com/search?q=IALP (International AsSociety of Communication Sciences/Disorders)+最近公告會期</v>
      </c>
      <c r="G51" s="1" t="str">
        <f t="shared" si="1"/>
        <v>https://www.google.com/search?q=IALP (International AsSociety of Communication Sciences/Disorders)+最近公告徵稿截止日期</v>
      </c>
      <c r="H51" s="1" t="str">
        <f t="shared" si="2"/>
        <v>https://www.google.com/search?q=IALP+(International+AsSociety+of+Communication+Sciences/Disorders)+official+website</v>
      </c>
      <c r="I51" s="2" t="s">
        <v>167</v>
      </c>
      <c r="J51" s="2" t="s">
        <v>168</v>
      </c>
      <c r="K51" s="2" t="s">
        <v>169</v>
      </c>
      <c r="L51" s="2" t="s">
        <v>8</v>
      </c>
    </row>
    <row r="52" spans="1:12" ht="72" customHeight="1">
      <c r="A52" s="1" t="s">
        <v>170</v>
      </c>
      <c r="B52" s="2" t="s">
        <v>171</v>
      </c>
      <c r="C52" s="1" t="s">
        <v>640</v>
      </c>
      <c r="D52" s="1" t="s">
        <v>632</v>
      </c>
      <c r="E52" s="1" t="s">
        <v>633</v>
      </c>
      <c r="F52" s="1" t="str">
        <f t="shared" si="0"/>
        <v>https://www.google.com/search?q=IBFAN (International Baby Food Action Network)+最近公告會期</v>
      </c>
      <c r="G52" s="1" t="str">
        <f t="shared" si="1"/>
        <v>https://www.google.com/search?q=IBFAN (International Baby Food Action Network)+最近公告徵稿截止日期</v>
      </c>
      <c r="H52" s="1" t="str">
        <f t="shared" si="2"/>
        <v>https://www.google.com/search?q=IBFAN+(International+Baby+Food+Action+Network)+official+website</v>
      </c>
      <c r="I52" s="2" t="s">
        <v>172</v>
      </c>
      <c r="J52" s="2" t="s">
        <v>173</v>
      </c>
      <c r="K52" s="2" t="s">
        <v>95</v>
      </c>
      <c r="L52" s="2" t="s">
        <v>8</v>
      </c>
    </row>
    <row r="53" spans="1:12" ht="72" customHeight="1">
      <c r="A53" s="1" t="s">
        <v>174</v>
      </c>
      <c r="B53" s="2" t="s">
        <v>175</v>
      </c>
      <c r="C53" s="1" t="s">
        <v>655</v>
      </c>
      <c r="D53" s="1" t="s">
        <v>625</v>
      </c>
      <c r="E53" s="1" t="s">
        <v>625</v>
      </c>
      <c r="F53" s="1" t="str">
        <f t="shared" si="0"/>
        <v>https://www.google.com/search?q=IBE (International Bureau for Epilepsy)+最近公告會期</v>
      </c>
      <c r="G53" s="1" t="str">
        <f t="shared" si="1"/>
        <v>https://www.google.com/search?q=IBE (International Bureau for Epilepsy)+最近公告徵稿截止日期</v>
      </c>
      <c r="H53" s="1" t="str">
        <f t="shared" si="2"/>
        <v>https://www.google.com/search?q=IBE+(International+Bureau+for+Epilepsy)+official+website</v>
      </c>
      <c r="I53" s="2" t="s">
        <v>176</v>
      </c>
      <c r="J53" s="2" t="s">
        <v>139</v>
      </c>
      <c r="K53" s="2" t="s">
        <v>7</v>
      </c>
      <c r="L53" s="2" t="s">
        <v>8</v>
      </c>
    </row>
    <row r="54" spans="1:12" ht="72" customHeight="1">
      <c r="A54" s="1" t="s">
        <v>177</v>
      </c>
      <c r="B54" s="2" t="s">
        <v>667</v>
      </c>
      <c r="C54" s="1" t="s">
        <v>640</v>
      </c>
      <c r="D54" s="1" t="s">
        <v>632</v>
      </c>
      <c r="E54" s="1" t="s">
        <v>628</v>
      </c>
      <c r="F54" s="1" t="str">
        <f t="shared" si="0"/>
        <v>https://www.google.com/search?q=ICBDSR (International Clearinghouse for Birth Defects)+最近公告會期</v>
      </c>
      <c r="G54" s="1" t="str">
        <f t="shared" si="1"/>
        <v>https://www.google.com/search?q=ICBDSR (International Clearinghouse for Birth Defects)+最近公告徵稿截止日期</v>
      </c>
      <c r="H54" s="1" t="str">
        <f t="shared" si="2"/>
        <v>https://www.google.com/search?q=ICBDSR+(International+Clearinghouse+for+Birth+Defects)+official+website</v>
      </c>
      <c r="I54" s="2" t="s">
        <v>178</v>
      </c>
      <c r="J54" s="2" t="s">
        <v>179</v>
      </c>
      <c r="K54" s="2" t="s">
        <v>7</v>
      </c>
      <c r="L54" s="2" t="s">
        <v>8</v>
      </c>
    </row>
    <row r="55" spans="1:12" ht="72" customHeight="1">
      <c r="A55" s="1" t="s">
        <v>180</v>
      </c>
      <c r="B55" s="2" t="s">
        <v>181</v>
      </c>
      <c r="C55" s="1" t="s">
        <v>638</v>
      </c>
      <c r="D55" s="1" t="s">
        <v>626</v>
      </c>
      <c r="E55" s="1" t="s">
        <v>633</v>
      </c>
      <c r="F55" s="1" t="str">
        <f t="shared" si="0"/>
        <v>https://www.google.com/search?q=ICS (International College of Surgeons)+最近公告會期</v>
      </c>
      <c r="G55" s="1" t="str">
        <f t="shared" si="1"/>
        <v>https://www.google.com/search?q=ICS (International College of Surgeons)+最近公告徵稿截止日期</v>
      </c>
      <c r="H55" s="1" t="str">
        <f t="shared" si="2"/>
        <v>https://www.google.com/search?q=ICS+(International+College+of+Surgeons)+official+website</v>
      </c>
      <c r="I55" s="2" t="s">
        <v>182</v>
      </c>
      <c r="J55" s="2" t="s">
        <v>183</v>
      </c>
      <c r="K55" s="2" t="s">
        <v>7</v>
      </c>
      <c r="L55" s="2" t="s">
        <v>8</v>
      </c>
    </row>
    <row r="56" spans="1:12" ht="72" customHeight="1">
      <c r="A56" s="1" t="s">
        <v>184</v>
      </c>
      <c r="B56" s="2" t="s">
        <v>668</v>
      </c>
      <c r="C56" s="1" t="s">
        <v>640</v>
      </c>
      <c r="D56" s="1" t="s">
        <v>627</v>
      </c>
      <c r="E56" s="1" t="s">
        <v>628</v>
      </c>
      <c r="F56" s="1" t="str">
        <f t="shared" si="0"/>
        <v>https://www.google.com/search?q=ICNIRP (International Commission Non-Ionizing Radiation)+最近公告會期</v>
      </c>
      <c r="G56" s="1" t="str">
        <f t="shared" si="1"/>
        <v>https://www.google.com/search?q=ICNIRP (International Commission Non-Ionizing Radiation)+最近公告徵稿截止日期</v>
      </c>
      <c r="H56" s="1" t="str">
        <f t="shared" si="2"/>
        <v>https://www.google.com/search?q=ICNIRP+(International+Commission+Non-Ionizing+Radiation)+official+website</v>
      </c>
      <c r="I56" s="2" t="s">
        <v>185</v>
      </c>
      <c r="J56" s="2" t="s">
        <v>186</v>
      </c>
      <c r="K56" s="2" t="s">
        <v>101</v>
      </c>
      <c r="L56" s="2" t="s">
        <v>8</v>
      </c>
    </row>
    <row r="57" spans="1:12" ht="72" customHeight="1">
      <c r="A57" s="1" t="s">
        <v>187</v>
      </c>
      <c r="B57" s="2" t="s">
        <v>188</v>
      </c>
      <c r="C57" s="1" t="s">
        <v>659</v>
      </c>
      <c r="D57" s="1" t="s">
        <v>625</v>
      </c>
      <c r="E57" s="1" t="s">
        <v>625</v>
      </c>
      <c r="F57" s="1" t="str">
        <f t="shared" si="0"/>
        <v>https://www.google.com/search?q=ICOH (International Commission on Occupational Health)+最近公告會期</v>
      </c>
      <c r="G57" s="1" t="str">
        <f t="shared" si="1"/>
        <v>https://www.google.com/search?q=ICOH (International Commission on Occupational Health)+最近公告徵稿截止日期</v>
      </c>
      <c r="H57" s="1" t="str">
        <f t="shared" si="2"/>
        <v>https://www.google.com/search?q=ICOH+(International+Commission+on+Occupational+Health)+official+website</v>
      </c>
      <c r="I57" s="2" t="s">
        <v>55</v>
      </c>
      <c r="J57" s="2" t="s">
        <v>56</v>
      </c>
      <c r="K57" s="2" t="s">
        <v>57</v>
      </c>
      <c r="L57" s="2" t="s">
        <v>58</v>
      </c>
    </row>
    <row r="58" spans="1:12" ht="72" customHeight="1">
      <c r="A58" s="1" t="s">
        <v>189</v>
      </c>
      <c r="B58" s="2" t="s">
        <v>669</v>
      </c>
      <c r="C58" s="1" t="s">
        <v>655</v>
      </c>
      <c r="D58" s="1" t="s">
        <v>625</v>
      </c>
      <c r="E58" s="1" t="s">
        <v>625</v>
      </c>
      <c r="F58" s="1" t="str">
        <f t="shared" si="0"/>
        <v>https://www.google.com/search?q=ICRP (International Commission on Radiological Protection)+最近公告會期</v>
      </c>
      <c r="G58" s="1" t="str">
        <f t="shared" si="1"/>
        <v>https://www.google.com/search?q=ICRP (International Commission on Radiological Protection)+最近公告徵稿截止日期</v>
      </c>
      <c r="H58" s="1" t="str">
        <f t="shared" si="2"/>
        <v>https://www.google.com/search?q=ICRP+(International+Commission+on+Radiological+Protection)+official+website</v>
      </c>
      <c r="I58" s="2" t="s">
        <v>190</v>
      </c>
      <c r="J58" s="2" t="s">
        <v>191</v>
      </c>
      <c r="K58" s="2" t="s">
        <v>101</v>
      </c>
      <c r="L58" s="2" t="s">
        <v>8</v>
      </c>
    </row>
    <row r="59" spans="1:12" ht="72" customHeight="1">
      <c r="A59" s="1" t="s">
        <v>192</v>
      </c>
      <c r="B59" s="2" t="s">
        <v>731</v>
      </c>
      <c r="C59" s="1" t="s">
        <v>655</v>
      </c>
      <c r="D59" s="1" t="s">
        <v>625</v>
      </c>
      <c r="E59" s="1" t="s">
        <v>625</v>
      </c>
      <c r="F59" s="1" t="str">
        <f t="shared" si="0"/>
        <v>https://www.google.com/search?q=ICMART (International Committee Monitoring Reproductive Technologies)+最近公告會期</v>
      </c>
      <c r="G59" s="1" t="str">
        <f t="shared" si="1"/>
        <v>https://www.google.com/search?q=ICMART (International Committee Monitoring Reproductive Technologies)+最近公告徵稿截止日期</v>
      </c>
      <c r="H59" s="1" t="str">
        <f t="shared" si="2"/>
        <v>https://www.google.com/search?q=ICMART+(International+Committee+Monitoring+Reproductive+Technologies)+official+website</v>
      </c>
      <c r="I59" s="2" t="s">
        <v>193</v>
      </c>
      <c r="J59" s="2" t="s">
        <v>194</v>
      </c>
      <c r="K59" s="2" t="s">
        <v>7</v>
      </c>
      <c r="L59" s="2" t="s">
        <v>8</v>
      </c>
    </row>
    <row r="60" spans="1:12" ht="72" customHeight="1">
      <c r="A60" s="1" t="s">
        <v>195</v>
      </c>
      <c r="B60" s="2" t="s">
        <v>196</v>
      </c>
      <c r="C60" s="1" t="s">
        <v>644</v>
      </c>
      <c r="D60" s="1" t="s">
        <v>626</v>
      </c>
      <c r="E60" s="1" t="s">
        <v>627</v>
      </c>
      <c r="F60" s="1" t="str">
        <f t="shared" si="0"/>
        <v>https://www.google.com/search?q=ICM (International Confederation of Midwives)+最近公告會期</v>
      </c>
      <c r="G60" s="1" t="str">
        <f t="shared" si="1"/>
        <v>https://www.google.com/search?q=ICM (International Confederation of Midwives)+最近公告徵稿截止日期</v>
      </c>
      <c r="H60" s="1" t="str">
        <f t="shared" si="2"/>
        <v>https://www.google.com/search?q=ICM+(International+Confederation+of+Midwives)+official+website</v>
      </c>
      <c r="I60" s="2" t="s">
        <v>197</v>
      </c>
      <c r="J60" s="2" t="s">
        <v>198</v>
      </c>
      <c r="K60" s="2" t="s">
        <v>199</v>
      </c>
      <c r="L60" s="2" t="s">
        <v>8</v>
      </c>
    </row>
    <row r="61" spans="1:12" ht="72" customHeight="1">
      <c r="A61" s="1" t="s">
        <v>200</v>
      </c>
      <c r="B61" s="2" t="s">
        <v>670</v>
      </c>
      <c r="C61" s="1" t="s">
        <v>655</v>
      </c>
      <c r="D61" s="1" t="s">
        <v>625</v>
      </c>
      <c r="E61" s="1" t="s">
        <v>625</v>
      </c>
      <c r="F61" s="1" t="str">
        <f t="shared" si="0"/>
        <v>https://www.google.com/search?q=ICCBBA (International Council Blood Bank Automation)+最近公告會期</v>
      </c>
      <c r="G61" s="1" t="str">
        <f t="shared" si="1"/>
        <v>https://www.google.com/search?q=ICCBBA (International Council Blood Bank Automation)+最近公告徵稿截止日期</v>
      </c>
      <c r="H61" s="1" t="str">
        <f t="shared" si="2"/>
        <v>https://www.google.com/search?q=ICCBBA+(International+Council+Blood+Bank+Automation)+official+website</v>
      </c>
      <c r="I61" s="2" t="s">
        <v>201</v>
      </c>
      <c r="J61" s="2" t="s">
        <v>202</v>
      </c>
      <c r="K61" s="2" t="s">
        <v>38</v>
      </c>
      <c r="L61" s="2" t="s">
        <v>8</v>
      </c>
    </row>
    <row r="62" spans="1:12" ht="72" customHeight="1">
      <c r="A62" s="1" t="s">
        <v>203</v>
      </c>
      <c r="B62" s="2" t="s">
        <v>671</v>
      </c>
      <c r="C62" s="1" t="s">
        <v>659</v>
      </c>
      <c r="D62" s="1" t="s">
        <v>625</v>
      </c>
      <c r="E62" s="1" t="s">
        <v>625</v>
      </c>
      <c r="F62" s="1" t="str">
        <f t="shared" si="0"/>
        <v>https://www.google.com/search?q=ICSH (International Council Standardization in Haematology)+最近公告會期</v>
      </c>
      <c r="G62" s="1" t="str">
        <f t="shared" si="1"/>
        <v>https://www.google.com/search?q=ICSH (International Council Standardization in Haematology)+最近公告徵稿截止日期</v>
      </c>
      <c r="H62" s="1" t="str">
        <f t="shared" si="2"/>
        <v>https://www.google.com/search?q=ICSH+(International+Council+Standardization+in+Haematology)+official+website</v>
      </c>
      <c r="I62" s="2" t="s">
        <v>204</v>
      </c>
      <c r="J62" s="2" t="s">
        <v>205</v>
      </c>
      <c r="K62" s="2" t="s">
        <v>7</v>
      </c>
      <c r="L62" s="2" t="s">
        <v>8</v>
      </c>
    </row>
    <row r="63" spans="1:12" ht="72" customHeight="1">
      <c r="A63" s="1" t="s">
        <v>206</v>
      </c>
      <c r="B63" s="2" t="s">
        <v>207</v>
      </c>
      <c r="C63" s="1" t="s">
        <v>655</v>
      </c>
      <c r="D63" s="1" t="s">
        <v>625</v>
      </c>
      <c r="E63" s="1" t="s">
        <v>625</v>
      </c>
      <c r="F63" s="1" t="str">
        <f t="shared" si="0"/>
        <v>https://www.google.com/search?q=ICN (International Council of Nurses)+最近公告會期</v>
      </c>
      <c r="G63" s="1" t="str">
        <f t="shared" si="1"/>
        <v>https://www.google.com/search?q=ICN (International Council of Nurses)+最近公告徵稿截止日期</v>
      </c>
      <c r="H63" s="1" t="str">
        <f t="shared" si="2"/>
        <v>https://www.google.com/search?q=ICN+(International+Council+of+Nurses)+official+website</v>
      </c>
      <c r="I63" s="2" t="s">
        <v>208</v>
      </c>
      <c r="J63" s="2" t="s">
        <v>209</v>
      </c>
      <c r="K63" s="2" t="s">
        <v>199</v>
      </c>
      <c r="L63" s="2" t="s">
        <v>8</v>
      </c>
    </row>
    <row r="64" spans="1:12" ht="72" customHeight="1">
      <c r="A64" s="1" t="s">
        <v>210</v>
      </c>
      <c r="B64" s="2" t="s">
        <v>211</v>
      </c>
      <c r="C64" s="1" t="s">
        <v>655</v>
      </c>
      <c r="D64" s="1" t="s">
        <v>625</v>
      </c>
      <c r="E64" s="1" t="s">
        <v>625</v>
      </c>
      <c r="F64" s="1" t="str">
        <f t="shared" si="0"/>
        <v>https://www.google.com/search?q=ICO (International Council of Ophthalmology)+最近公告會期</v>
      </c>
      <c r="G64" s="1" t="str">
        <f t="shared" si="1"/>
        <v>https://www.google.com/search?q=ICO (International Council of Ophthalmology)+最近公告徵稿截止日期</v>
      </c>
      <c r="H64" s="1" t="str">
        <f t="shared" si="2"/>
        <v>https://www.google.com/search?q=ICO+(International+Council+of+Ophthalmology)+official+website</v>
      </c>
      <c r="I64" s="2" t="s">
        <v>212</v>
      </c>
      <c r="J64" s="2" t="s">
        <v>135</v>
      </c>
      <c r="K64" s="2" t="s">
        <v>7</v>
      </c>
      <c r="L64" s="2" t="s">
        <v>8</v>
      </c>
    </row>
    <row r="65" spans="1:12" ht="72" customHeight="1">
      <c r="A65" s="1" t="s">
        <v>213</v>
      </c>
      <c r="B65" s="2" t="s">
        <v>214</v>
      </c>
      <c r="C65" s="1" t="s">
        <v>655</v>
      </c>
      <c r="D65" s="1" t="s">
        <v>625</v>
      </c>
      <c r="E65" s="1" t="s">
        <v>625</v>
      </c>
      <c r="F65" s="1" t="str">
        <f t="shared" si="0"/>
        <v>https://www.google.com/search?q=IDF (International Diabetes Federation)+最近公告會期</v>
      </c>
      <c r="G65" s="1" t="str">
        <f t="shared" si="1"/>
        <v>https://www.google.com/search?q=IDF (International Diabetes Federation)+最近公告徵稿截止日期</v>
      </c>
      <c r="H65" s="1" t="str">
        <f t="shared" si="2"/>
        <v>https://www.google.com/search?q=IDF+(International+Diabetes+Federation)+official+website</v>
      </c>
      <c r="I65" s="2" t="s">
        <v>176</v>
      </c>
      <c r="J65" s="2" t="s">
        <v>139</v>
      </c>
      <c r="K65" s="2" t="s">
        <v>7</v>
      </c>
      <c r="L65" s="2" t="s">
        <v>8</v>
      </c>
    </row>
    <row r="66" spans="1:12" ht="72" customHeight="1">
      <c r="A66" s="1" t="s">
        <v>215</v>
      </c>
      <c r="B66" s="2" t="s">
        <v>216</v>
      </c>
      <c r="C66" s="1" t="s">
        <v>635</v>
      </c>
      <c r="D66" s="1" t="s">
        <v>627</v>
      </c>
      <c r="E66" s="1" t="s">
        <v>629</v>
      </c>
      <c r="F66" s="1" t="str">
        <f t="shared" si="0"/>
        <v>https://www.google.com/search?q=IEA (International Epidemiological Association)+最近公告會期</v>
      </c>
      <c r="G66" s="1" t="str">
        <f t="shared" si="1"/>
        <v>https://www.google.com/search?q=IEA (International Epidemiological Association)+最近公告徵稿截止日期</v>
      </c>
      <c r="H66" s="1" t="str">
        <f t="shared" si="2"/>
        <v>https://www.google.com/search?q=IEA+(International+Epidemiological+Association)+official+website</v>
      </c>
      <c r="I66" s="2" t="s">
        <v>75</v>
      </c>
      <c r="J66" s="2" t="s">
        <v>56</v>
      </c>
      <c r="K66" s="2" t="s">
        <v>7</v>
      </c>
      <c r="L66" s="2" t="s">
        <v>58</v>
      </c>
    </row>
    <row r="67" spans="1:12" ht="72" customHeight="1">
      <c r="A67" s="1" t="s">
        <v>217</v>
      </c>
      <c r="B67" s="2" t="s">
        <v>218</v>
      </c>
      <c r="C67" s="1" t="s">
        <v>655</v>
      </c>
      <c r="D67" s="1" t="s">
        <v>625</v>
      </c>
      <c r="E67" s="1" t="s">
        <v>625</v>
      </c>
      <c r="F67" s="1" t="str">
        <f t="shared" ref="F67:F130" si="3">"https://www.google.com/search?q="&amp;B67&amp;"+最近公告會期"</f>
        <v>https://www.google.com/search?q=IEA (International Ergonomics Association)+最近公告會期</v>
      </c>
      <c r="G67" s="1" t="str">
        <f t="shared" ref="G67:G130" si="4">"https://www.google.com/search?q="&amp;B67&amp;"+最近公告徵稿截止日期"</f>
        <v>https://www.google.com/search?q=IEA (International Ergonomics Association)+最近公告徵稿截止日期</v>
      </c>
      <c r="H67" s="1" t="str">
        <f t="shared" ref="H67:H130" si="5">"https://www.google.com/search?q="&amp;SUBSTITUTE(B67," ","+")&amp;"+official+website"</f>
        <v>https://www.google.com/search?q=IEA+(International+Ergonomics+Association)+official+website</v>
      </c>
      <c r="I67" s="2" t="s">
        <v>219</v>
      </c>
      <c r="J67" s="2" t="s">
        <v>220</v>
      </c>
      <c r="K67" s="2" t="s">
        <v>221</v>
      </c>
      <c r="L67" s="2" t="s">
        <v>8</v>
      </c>
    </row>
    <row r="68" spans="1:12" ht="72" customHeight="1">
      <c r="A68" s="1" t="s">
        <v>222</v>
      </c>
      <c r="B68" s="2" t="s">
        <v>735</v>
      </c>
      <c r="C68" s="1" t="s">
        <v>655</v>
      </c>
      <c r="D68" s="1" t="s">
        <v>625</v>
      </c>
      <c r="E68" s="1" t="s">
        <v>625</v>
      </c>
      <c r="F68" s="1" t="str">
        <f t="shared" si="3"/>
        <v>https://www.google.com/search?q=IFMBE (International Federation of Medical and Biological Engineering)+最近公告會期</v>
      </c>
      <c r="G68" s="1" t="str">
        <f t="shared" si="4"/>
        <v>https://www.google.com/search?q=IFMBE (International Federation of Medical and Biological Engineering)+最近公告徵稿截止日期</v>
      </c>
      <c r="H68" s="1" t="str">
        <f t="shared" si="5"/>
        <v>https://www.google.com/search?q=IFMBE+(International+Federation+of+Medical+and+Biological+Engineering)+official+website</v>
      </c>
      <c r="I68" s="2" t="s">
        <v>223</v>
      </c>
      <c r="J68" s="2" t="s">
        <v>56</v>
      </c>
      <c r="K68" s="2" t="s">
        <v>101</v>
      </c>
      <c r="L68" s="2" t="s">
        <v>58</v>
      </c>
    </row>
    <row r="69" spans="1:12" ht="72" customHeight="1">
      <c r="A69" s="1" t="s">
        <v>224</v>
      </c>
      <c r="B69" s="2" t="s">
        <v>713</v>
      </c>
      <c r="C69" s="1" t="s">
        <v>644</v>
      </c>
      <c r="D69" s="1" t="s">
        <v>626</v>
      </c>
      <c r="E69" s="1" t="s">
        <v>627</v>
      </c>
      <c r="F69" s="1" t="str">
        <f t="shared" si="3"/>
        <v>https://www.google.com/search?q=IFBLS (International Federation of Biomedical Laboratory Science)+最近公告會期</v>
      </c>
      <c r="G69" s="1" t="str">
        <f t="shared" si="4"/>
        <v>https://www.google.com/search?q=IFBLS (International Federation of Biomedical Laboratory Science)+最近公告徵稿截止日期</v>
      </c>
      <c r="H69" s="1" t="str">
        <f t="shared" si="5"/>
        <v>https://www.google.com/search?q=IFBLS+(International+Federation+of+Biomedical+Laboratory+Science)+official+website</v>
      </c>
      <c r="I69" s="2" t="s">
        <v>40</v>
      </c>
      <c r="J69" s="2" t="s">
        <v>41</v>
      </c>
      <c r="K69" s="2" t="s">
        <v>225</v>
      </c>
      <c r="L69" s="2" t="s">
        <v>8</v>
      </c>
    </row>
    <row r="70" spans="1:12" ht="72" customHeight="1">
      <c r="A70" s="1" t="s">
        <v>226</v>
      </c>
      <c r="B70" s="2" t="s">
        <v>736</v>
      </c>
      <c r="C70" s="1" t="s">
        <v>655</v>
      </c>
      <c r="D70" s="1" t="s">
        <v>625</v>
      </c>
      <c r="E70" s="1" t="s">
        <v>625</v>
      </c>
      <c r="F70" s="1" t="str">
        <f t="shared" si="3"/>
        <v>https://www.google.com/search?q=IFCC (International Federation of Clinical Chemistry and Lab Medicine)+最近公告會期</v>
      </c>
      <c r="G70" s="1" t="str">
        <f t="shared" si="4"/>
        <v>https://www.google.com/search?q=IFCC (International Federation of Clinical Chemistry and Lab Medicine)+最近公告徵稿截止日期</v>
      </c>
      <c r="H70" s="1" t="str">
        <f t="shared" si="5"/>
        <v>https://www.google.com/search?q=IFCC+(International+Federation+of+Clinical+Chemistry+and+Lab+Medicine)+official+website</v>
      </c>
      <c r="I70" s="2" t="s">
        <v>227</v>
      </c>
      <c r="J70" s="2" t="s">
        <v>41</v>
      </c>
      <c r="K70" s="2" t="s">
        <v>225</v>
      </c>
      <c r="L70" s="2" t="s">
        <v>8</v>
      </c>
    </row>
    <row r="71" spans="1:12" ht="72" customHeight="1">
      <c r="A71" s="1" t="s">
        <v>228</v>
      </c>
      <c r="B71" s="2" t="s">
        <v>737</v>
      </c>
      <c r="C71" s="1" t="s">
        <v>640</v>
      </c>
      <c r="D71" s="1" t="s">
        <v>632</v>
      </c>
      <c r="E71" s="1" t="s">
        <v>633</v>
      </c>
      <c r="F71" s="1" t="str">
        <f t="shared" si="3"/>
        <v>https://www.google.com/search?q=FIGO (International Federation of Gynecology and Obstetrics)+最近公告會期</v>
      </c>
      <c r="G71" s="1" t="str">
        <f t="shared" si="4"/>
        <v>https://www.google.com/search?q=FIGO (International Federation of Gynecology and Obstetrics)+最近公告徵稿截止日期</v>
      </c>
      <c r="H71" s="1" t="str">
        <f t="shared" si="5"/>
        <v>https://www.google.com/search?q=FIGO+(International+Federation+of+Gynecology+and+Obstetrics)+official+website</v>
      </c>
      <c r="I71" s="2" t="s">
        <v>229</v>
      </c>
      <c r="J71" s="2" t="s">
        <v>194</v>
      </c>
      <c r="K71" s="2" t="s">
        <v>7</v>
      </c>
      <c r="L71" s="2" t="s">
        <v>8</v>
      </c>
    </row>
    <row r="72" spans="1:12" ht="72" customHeight="1">
      <c r="A72" s="1" t="s">
        <v>230</v>
      </c>
      <c r="B72" s="2" t="s">
        <v>714</v>
      </c>
      <c r="C72" s="1" t="s">
        <v>655</v>
      </c>
      <c r="D72" s="1" t="s">
        <v>625</v>
      </c>
      <c r="E72" s="1" t="s">
        <v>625</v>
      </c>
      <c r="F72" s="1" t="str">
        <f t="shared" si="3"/>
        <v>https://www.google.com/search?q=IFHIMA (International Federation of Health Information Management)+最近公告會期</v>
      </c>
      <c r="G72" s="1" t="str">
        <f t="shared" si="4"/>
        <v>https://www.google.com/search?q=IFHIMA (International Federation of Health Information Management)+最近公告徵稿截止日期</v>
      </c>
      <c r="H72" s="1" t="str">
        <f t="shared" si="5"/>
        <v>https://www.google.com/search?q=IFHIMA+(International+Federation+of+Health+Information+Management)+official+website</v>
      </c>
      <c r="I72" s="2" t="s">
        <v>107</v>
      </c>
      <c r="J72" s="2" t="s">
        <v>56</v>
      </c>
      <c r="K72" s="2" t="s">
        <v>7</v>
      </c>
      <c r="L72" s="2" t="s">
        <v>58</v>
      </c>
    </row>
    <row r="73" spans="1:12" ht="72" customHeight="1">
      <c r="A73" s="1" t="s">
        <v>231</v>
      </c>
      <c r="B73" s="2" t="s">
        <v>232</v>
      </c>
      <c r="C73" s="1" t="s">
        <v>655</v>
      </c>
      <c r="D73" s="1" t="s">
        <v>625</v>
      </c>
      <c r="E73" s="1" t="s">
        <v>625</v>
      </c>
      <c r="F73" s="1" t="str">
        <f t="shared" si="3"/>
        <v>https://www.google.com/search?q=IFHE (International Federation of Healthcare Engineering)+最近公告會期</v>
      </c>
      <c r="G73" s="1" t="str">
        <f t="shared" si="4"/>
        <v>https://www.google.com/search?q=IFHE (International Federation of Healthcare Engineering)+最近公告徵稿截止日期</v>
      </c>
      <c r="H73" s="1" t="str">
        <f t="shared" si="5"/>
        <v>https://www.google.com/search?q=IFHE+(International+Federation+of+Healthcare+Engineering)+official+website</v>
      </c>
      <c r="I73" s="2" t="s">
        <v>107</v>
      </c>
      <c r="J73" s="2" t="s">
        <v>56</v>
      </c>
      <c r="K73" s="2" t="s">
        <v>7</v>
      </c>
      <c r="L73" s="2" t="s">
        <v>58</v>
      </c>
    </row>
    <row r="74" spans="1:12" ht="72" customHeight="1">
      <c r="A74" s="1" t="s">
        <v>233</v>
      </c>
      <c r="B74" s="2" t="s">
        <v>715</v>
      </c>
      <c r="C74" s="1" t="s">
        <v>640</v>
      </c>
      <c r="D74" s="1" t="s">
        <v>632</v>
      </c>
      <c r="E74" s="1" t="s">
        <v>633</v>
      </c>
      <c r="F74" s="1" t="str">
        <f t="shared" si="3"/>
        <v>https://www.google.com/search?q=IFMSA (International Federation of Medical Students' Associations)+最近公告會期</v>
      </c>
      <c r="G74" s="1" t="str">
        <f t="shared" si="4"/>
        <v>https://www.google.com/search?q=IFMSA (International Federation of Medical Students' Associations)+最近公告徵稿截止日期</v>
      </c>
      <c r="H74" s="1" t="str">
        <f t="shared" si="5"/>
        <v>https://www.google.com/search?q=IFMSA+(International+Federation+of+Medical+Students'+Associations)+official+website</v>
      </c>
      <c r="I74" s="2" t="s">
        <v>234</v>
      </c>
      <c r="J74" s="2" t="s">
        <v>235</v>
      </c>
      <c r="K74" s="2" t="s">
        <v>236</v>
      </c>
      <c r="L74" s="2" t="s">
        <v>237</v>
      </c>
    </row>
    <row r="75" spans="1:12" ht="72" customHeight="1">
      <c r="A75" s="1" t="s">
        <v>238</v>
      </c>
      <c r="B75" s="2" t="s">
        <v>716</v>
      </c>
      <c r="C75" s="1" t="s">
        <v>640</v>
      </c>
      <c r="D75" s="1" t="s">
        <v>632</v>
      </c>
      <c r="E75" s="1" t="s">
        <v>633</v>
      </c>
      <c r="F75" s="1" t="str">
        <f t="shared" si="3"/>
        <v>https://www.google.com/search?q=IFOS (International Federation of Oto-Rhino-Laryngological Societies)+最近公告會期</v>
      </c>
      <c r="G75" s="1" t="str">
        <f t="shared" si="4"/>
        <v>https://www.google.com/search?q=IFOS (International Federation of Oto-Rhino-Laryngological Societies)+最近公告徵稿截止日期</v>
      </c>
      <c r="H75" s="1" t="str">
        <f t="shared" si="5"/>
        <v>https://www.google.com/search?q=IFOS+(International+Federation+of+Oto-Rhino-Laryngological+Societies)+official+website</v>
      </c>
      <c r="I75" s="2" t="s">
        <v>239</v>
      </c>
      <c r="J75" s="2" t="s">
        <v>240</v>
      </c>
      <c r="K75" s="2" t="s">
        <v>7</v>
      </c>
      <c r="L75" s="2" t="s">
        <v>8</v>
      </c>
    </row>
    <row r="76" spans="1:12" ht="72" customHeight="1">
      <c r="A76" s="1" t="s">
        <v>241</v>
      </c>
      <c r="B76" s="2" t="s">
        <v>717</v>
      </c>
      <c r="C76" s="1" t="s">
        <v>655</v>
      </c>
      <c r="D76" s="1" t="s">
        <v>625</v>
      </c>
      <c r="E76" s="1" t="s">
        <v>625</v>
      </c>
      <c r="F76" s="1" t="str">
        <f t="shared" si="3"/>
        <v>https://www.google.com/search?q=IFPMA (International Federation of Pharmaceutical Manufacturers)+最近公告會期</v>
      </c>
      <c r="G76" s="1" t="str">
        <f t="shared" si="4"/>
        <v>https://www.google.com/search?q=IFPMA (International Federation of Pharmaceutical Manufacturers)+最近公告徵稿截止日期</v>
      </c>
      <c r="H76" s="1" t="str">
        <f t="shared" si="5"/>
        <v>https://www.google.com/search?q=IFPMA+(International+Federation+of+Pharmaceutical+Manufacturers)+official+website</v>
      </c>
      <c r="I76" s="2" t="s">
        <v>36</v>
      </c>
      <c r="J76" s="2" t="s">
        <v>37</v>
      </c>
      <c r="K76" s="2" t="s">
        <v>38</v>
      </c>
      <c r="L76" s="2" t="s">
        <v>8</v>
      </c>
    </row>
    <row r="77" spans="1:12" ht="72" customHeight="1">
      <c r="A77" s="1" t="s">
        <v>242</v>
      </c>
      <c r="B77" s="2" t="s">
        <v>718</v>
      </c>
      <c r="C77" s="1" t="s">
        <v>655</v>
      </c>
      <c r="D77" s="1" t="s">
        <v>625</v>
      </c>
      <c r="E77" s="1" t="s">
        <v>625</v>
      </c>
      <c r="F77" s="1" t="str">
        <f t="shared" si="3"/>
        <v>https://www.google.com/search?q=IFSCS (International Federation of Surgical Colleges and Societies)+最近公告會期</v>
      </c>
      <c r="G77" s="1" t="str">
        <f t="shared" si="4"/>
        <v>https://www.google.com/search?q=IFSCS (International Federation of Surgical Colleges and Societies)+最近公告徵稿截止日期</v>
      </c>
      <c r="H77" s="1" t="str">
        <f t="shared" si="5"/>
        <v>https://www.google.com/search?q=IFSCS+(International+Federation+of+Surgical+Colleges+and+Societies)+official+website</v>
      </c>
      <c r="I77" s="2" t="s">
        <v>243</v>
      </c>
      <c r="J77" s="2" t="s">
        <v>183</v>
      </c>
      <c r="K77" s="2" t="s">
        <v>7</v>
      </c>
      <c r="L77" s="2" t="s">
        <v>8</v>
      </c>
    </row>
    <row r="78" spans="1:12" ht="72" customHeight="1">
      <c r="A78" s="1" t="s">
        <v>244</v>
      </c>
      <c r="B78" s="2" t="s">
        <v>245</v>
      </c>
      <c r="C78" s="1" t="s">
        <v>655</v>
      </c>
      <c r="D78" s="1" t="s">
        <v>625</v>
      </c>
      <c r="E78" s="1" t="s">
        <v>625</v>
      </c>
      <c r="F78" s="1" t="str">
        <f t="shared" si="3"/>
        <v>https://www.google.com/search?q=IFA (International Federation on Ageing)+最近公告會期</v>
      </c>
      <c r="G78" s="1" t="str">
        <f t="shared" si="4"/>
        <v>https://www.google.com/search?q=IFA (International Federation on Ageing)+最近公告徵稿截止日期</v>
      </c>
      <c r="H78" s="1" t="str">
        <f t="shared" si="5"/>
        <v>https://www.google.com/search?q=IFA+(International+Federation+on+Ageing)+official+website</v>
      </c>
      <c r="I78" s="2" t="s">
        <v>246</v>
      </c>
      <c r="J78" s="2" t="s">
        <v>24</v>
      </c>
      <c r="K78" s="2" t="s">
        <v>7</v>
      </c>
      <c r="L78" s="2" t="s">
        <v>8</v>
      </c>
    </row>
    <row r="79" spans="1:12" ht="72" customHeight="1">
      <c r="A79" s="1" t="s">
        <v>247</v>
      </c>
      <c r="B79" s="2" t="s">
        <v>738</v>
      </c>
      <c r="C79" s="1" t="s">
        <v>655</v>
      </c>
      <c r="D79" s="1" t="s">
        <v>625</v>
      </c>
      <c r="E79" s="1" t="s">
        <v>625</v>
      </c>
      <c r="F79" s="1" t="str">
        <f t="shared" si="3"/>
        <v>https://www.google.com/search?q=IGBA (International Generic and Biosimilar Medicines Assoc)+最近公告會期</v>
      </c>
      <c r="G79" s="1" t="str">
        <f t="shared" si="4"/>
        <v>https://www.google.com/search?q=IGBA (International Generic and Biosimilar Medicines Assoc)+最近公告徵稿截止日期</v>
      </c>
      <c r="H79" s="1" t="str">
        <f t="shared" si="5"/>
        <v>https://www.google.com/search?q=IGBA+(International+Generic+and+Biosimilar+Medicines+Assoc)+official+website</v>
      </c>
      <c r="I79" s="2" t="s">
        <v>248</v>
      </c>
      <c r="J79" s="2" t="s">
        <v>37</v>
      </c>
      <c r="K79" s="2" t="s">
        <v>38</v>
      </c>
      <c r="L79" s="2" t="s">
        <v>8</v>
      </c>
    </row>
    <row r="80" spans="1:12" ht="72" customHeight="1">
      <c r="A80" s="1" t="s">
        <v>249</v>
      </c>
      <c r="B80" s="2" t="s">
        <v>250</v>
      </c>
      <c r="C80" s="1" t="s">
        <v>655</v>
      </c>
      <c r="D80" s="1" t="s">
        <v>625</v>
      </c>
      <c r="E80" s="1" t="s">
        <v>625</v>
      </c>
      <c r="F80" s="1" t="str">
        <f t="shared" si="3"/>
        <v>https://www.google.com/search?q=IHF (International Hospital Federation)+最近公告會期</v>
      </c>
      <c r="G80" s="1" t="str">
        <f t="shared" si="4"/>
        <v>https://www.google.com/search?q=IHF (International Hospital Federation)+最近公告徵稿截止日期</v>
      </c>
      <c r="H80" s="1" t="str">
        <f t="shared" si="5"/>
        <v>https://www.google.com/search?q=IHF+(International+Hospital+Federation)+official+website</v>
      </c>
      <c r="I80" s="2" t="s">
        <v>251</v>
      </c>
      <c r="J80" s="2" t="s">
        <v>56</v>
      </c>
      <c r="K80" s="2" t="s">
        <v>7</v>
      </c>
      <c r="L80" s="2" t="s">
        <v>58</v>
      </c>
    </row>
    <row r="81" spans="1:12" ht="72" customHeight="1">
      <c r="A81" s="1" t="s">
        <v>252</v>
      </c>
      <c r="B81" s="2" t="s">
        <v>253</v>
      </c>
      <c r="C81" s="1" t="s">
        <v>655</v>
      </c>
      <c r="D81" s="1" t="s">
        <v>625</v>
      </c>
      <c r="E81" s="1" t="s">
        <v>625</v>
      </c>
      <c r="F81" s="1" t="str">
        <f t="shared" si="3"/>
        <v>https://www.google.com/search?q=ILCA (International Lactation Consultant Association)+最近公告會期</v>
      </c>
      <c r="G81" s="1" t="str">
        <f t="shared" si="4"/>
        <v>https://www.google.com/search?q=ILCA (International Lactation Consultant Association)+最近公告徵稿截止日期</v>
      </c>
      <c r="H81" s="1" t="str">
        <f t="shared" si="5"/>
        <v>https://www.google.com/search?q=ILCA+(International+Lactation+Consultant+Association)+official+website</v>
      </c>
      <c r="I81" s="2" t="s">
        <v>254</v>
      </c>
      <c r="J81" s="2" t="s">
        <v>255</v>
      </c>
      <c r="K81" s="2" t="s">
        <v>199</v>
      </c>
      <c r="L81" s="2" t="s">
        <v>8</v>
      </c>
    </row>
    <row r="82" spans="1:12" ht="72" customHeight="1">
      <c r="A82" s="1" t="s">
        <v>256</v>
      </c>
      <c r="B82" s="2" t="s">
        <v>257</v>
      </c>
      <c r="C82" s="1" t="s">
        <v>640</v>
      </c>
      <c r="D82" s="1" t="s">
        <v>632</v>
      </c>
      <c r="E82" s="1" t="s">
        <v>633</v>
      </c>
      <c r="F82" s="1" t="str">
        <f t="shared" si="3"/>
        <v>https://www.google.com/search?q=ILAE (International League Against Epilepsy)+最近公告會期</v>
      </c>
      <c r="G82" s="1" t="str">
        <f t="shared" si="4"/>
        <v>https://www.google.com/search?q=ILAE (International League Against Epilepsy)+最近公告徵稿截止日期</v>
      </c>
      <c r="H82" s="1" t="str">
        <f t="shared" si="5"/>
        <v>https://www.google.com/search?q=ILAE+(International+League+Against+Epilepsy)+official+website</v>
      </c>
      <c r="I82" s="2" t="s">
        <v>258</v>
      </c>
      <c r="J82" s="2" t="s">
        <v>139</v>
      </c>
      <c r="K82" s="2" t="s">
        <v>7</v>
      </c>
      <c r="L82" s="2" t="s">
        <v>8</v>
      </c>
    </row>
    <row r="83" spans="1:12" ht="72" customHeight="1">
      <c r="A83" s="1" t="s">
        <v>259</v>
      </c>
      <c r="B83" s="2" t="s">
        <v>260</v>
      </c>
      <c r="C83" s="1" t="s">
        <v>655</v>
      </c>
      <c r="D83" s="1" t="s">
        <v>625</v>
      </c>
      <c r="E83" s="1" t="s">
        <v>625</v>
      </c>
      <c r="F83" s="1" t="str">
        <f t="shared" si="3"/>
        <v>https://www.google.com/search?q=ILS (International Life Saving Federation)+最近公告會期</v>
      </c>
      <c r="G83" s="1" t="str">
        <f t="shared" si="4"/>
        <v>https://www.google.com/search?q=ILS (International Life Saving Federation)+最近公告徵稿截止日期</v>
      </c>
      <c r="H83" s="1" t="str">
        <f t="shared" si="5"/>
        <v>https://www.google.com/search?q=ILS+(International+Life+Saving+Federation)+official+website</v>
      </c>
      <c r="I83" s="2" t="s">
        <v>75</v>
      </c>
      <c r="J83" s="2" t="s">
        <v>56</v>
      </c>
      <c r="K83" s="2" t="s">
        <v>7</v>
      </c>
      <c r="L83" s="2" t="s">
        <v>58</v>
      </c>
    </row>
    <row r="84" spans="1:12" ht="72" customHeight="1">
      <c r="A84" s="1" t="s">
        <v>261</v>
      </c>
      <c r="B84" s="2" t="s">
        <v>262</v>
      </c>
      <c r="C84" s="1" t="s">
        <v>638</v>
      </c>
      <c r="D84" s="1" t="s">
        <v>632</v>
      </c>
      <c r="E84" s="1" t="s">
        <v>628</v>
      </c>
      <c r="F84" s="1" t="str">
        <f t="shared" si="3"/>
        <v>https://www.google.com/search?q=IMC (International Medical Corps)+最近公告會期</v>
      </c>
      <c r="G84" s="1" t="str">
        <f t="shared" si="4"/>
        <v>https://www.google.com/search?q=IMC (International Medical Corps)+最近公告徵稿截止日期</v>
      </c>
      <c r="H84" s="1" t="str">
        <f t="shared" si="5"/>
        <v>https://www.google.com/search?q=IMC+(International+Medical+Corps)+official+website</v>
      </c>
      <c r="I84" s="2" t="s">
        <v>81</v>
      </c>
      <c r="J84" s="2" t="s">
        <v>56</v>
      </c>
      <c r="K84" s="2" t="s">
        <v>7</v>
      </c>
      <c r="L84" s="2" t="s">
        <v>58</v>
      </c>
    </row>
    <row r="85" spans="1:12" ht="72" customHeight="1">
      <c r="A85" s="1" t="s">
        <v>263</v>
      </c>
      <c r="B85" s="2" t="s">
        <v>264</v>
      </c>
      <c r="C85" s="1" t="s">
        <v>640</v>
      </c>
      <c r="D85" s="1" t="s">
        <v>632</v>
      </c>
      <c r="E85" s="1" t="s">
        <v>633</v>
      </c>
      <c r="F85" s="1" t="str">
        <f t="shared" si="3"/>
        <v>https://www.google.com/search?q=IMIA (International Medical Informatics Association)+最近公告會期</v>
      </c>
      <c r="G85" s="1" t="str">
        <f t="shared" si="4"/>
        <v>https://www.google.com/search?q=IMIA (International Medical Informatics Association)+最近公告徵稿截止日期</v>
      </c>
      <c r="H85" s="1" t="str">
        <f t="shared" si="5"/>
        <v>https://www.google.com/search?q=IMIA+(International+Medical+Informatics+Association)+official+website</v>
      </c>
      <c r="I85" s="2" t="s">
        <v>265</v>
      </c>
      <c r="J85" s="2" t="s">
        <v>56</v>
      </c>
      <c r="K85" s="2" t="s">
        <v>7</v>
      </c>
      <c r="L85" s="2" t="s">
        <v>58</v>
      </c>
    </row>
    <row r="86" spans="1:12" ht="72" customHeight="1">
      <c r="A86" s="1" t="s">
        <v>266</v>
      </c>
      <c r="B86" s="2" t="s">
        <v>267</v>
      </c>
      <c r="C86" s="1" t="s">
        <v>644</v>
      </c>
      <c r="D86" s="1" t="s">
        <v>626</v>
      </c>
      <c r="E86" s="1" t="s">
        <v>627</v>
      </c>
      <c r="F86" s="1" t="str">
        <f t="shared" si="3"/>
        <v>https://www.google.com/search?q=INWAT (International Network of Women Against Tobacco)+最近公告會期</v>
      </c>
      <c r="G86" s="1" t="str">
        <f t="shared" si="4"/>
        <v>https://www.google.com/search?q=INWAT (International Network of Women Against Tobacco)+最近公告徵稿截止日期</v>
      </c>
      <c r="H86" s="1" t="str">
        <f t="shared" si="5"/>
        <v>https://www.google.com/search?q=INWAT+(International+Network+of+Women+Against+Tobacco)+official+website</v>
      </c>
      <c r="I86" s="2" t="s">
        <v>17</v>
      </c>
      <c r="J86" s="2" t="s">
        <v>18</v>
      </c>
      <c r="K86" s="2" t="s">
        <v>19</v>
      </c>
      <c r="L86" s="2" t="s">
        <v>20</v>
      </c>
    </row>
    <row r="87" spans="1:12" ht="72" customHeight="1">
      <c r="A87" s="1" t="s">
        <v>268</v>
      </c>
      <c r="B87" s="2" t="s">
        <v>739</v>
      </c>
      <c r="C87" s="1" t="s">
        <v>640</v>
      </c>
      <c r="D87" s="1" t="s">
        <v>627</v>
      </c>
      <c r="E87" s="1" t="s">
        <v>628</v>
      </c>
      <c r="F87" s="1" t="str">
        <f t="shared" si="3"/>
        <v>https://www.google.com/search?q=INCHES (International Network Children's Health and Safety)+最近公告會期</v>
      </c>
      <c r="G87" s="1" t="str">
        <f t="shared" si="4"/>
        <v>https://www.google.com/search?q=INCHES (International Network Children's Health and Safety)+最近公告徵稿截止日期</v>
      </c>
      <c r="H87" s="1" t="str">
        <f t="shared" si="5"/>
        <v>https://www.google.com/search?q=INCHES+(International+Network+Children's+Health+and+Safety)+official+website</v>
      </c>
      <c r="I87" s="2" t="s">
        <v>269</v>
      </c>
      <c r="J87" s="2" t="s">
        <v>270</v>
      </c>
      <c r="K87" s="2" t="s">
        <v>7</v>
      </c>
      <c r="L87" s="2" t="s">
        <v>8</v>
      </c>
    </row>
    <row r="88" spans="1:12" ht="72" customHeight="1">
      <c r="A88" s="1" t="s">
        <v>271</v>
      </c>
      <c r="B88" s="2" t="s">
        <v>730</v>
      </c>
      <c r="C88" s="1" t="s">
        <v>655</v>
      </c>
      <c r="D88" s="1" t="s">
        <v>625</v>
      </c>
      <c r="E88" s="1" t="s">
        <v>625</v>
      </c>
      <c r="F88" s="1" t="str">
        <f t="shared" si="3"/>
        <v>https://www.google.com/search?q=IOMP (International Organization for Medical Physics)+最近公告會期</v>
      </c>
      <c r="G88" s="1" t="str">
        <f t="shared" si="4"/>
        <v>https://www.google.com/search?q=IOMP (International Organization for Medical Physics)+最近公告徵稿截止日期</v>
      </c>
      <c r="H88" s="1" t="str">
        <f t="shared" si="5"/>
        <v>https://www.google.com/search?q=IOMP+(International+Organization+for+Medical+Physics)+official+website</v>
      </c>
      <c r="I88" s="2" t="s">
        <v>272</v>
      </c>
      <c r="J88" s="2" t="s">
        <v>100</v>
      </c>
      <c r="K88" s="2" t="s">
        <v>101</v>
      </c>
      <c r="L88" s="2" t="s">
        <v>8</v>
      </c>
    </row>
    <row r="89" spans="1:12" ht="72" customHeight="1">
      <c r="A89" s="1" t="s">
        <v>273</v>
      </c>
      <c r="B89" s="2" t="s">
        <v>274</v>
      </c>
      <c r="C89" s="1" t="s">
        <v>655</v>
      </c>
      <c r="D89" s="1" t="s">
        <v>625</v>
      </c>
      <c r="E89" s="1" t="s">
        <v>625</v>
      </c>
      <c r="F89" s="1" t="str">
        <f t="shared" si="3"/>
        <v>https://www.google.com/search?q=IPA (International Pediatric Association)+最近公告會期</v>
      </c>
      <c r="G89" s="1" t="str">
        <f t="shared" si="4"/>
        <v>https://www.google.com/search?q=IPA (International Pediatric Association)+最近公告徵稿截止日期</v>
      </c>
      <c r="H89" s="1" t="str">
        <f t="shared" si="5"/>
        <v>https://www.google.com/search?q=IPA+(International+Pediatric+Association)+official+website</v>
      </c>
      <c r="I89" s="2" t="s">
        <v>275</v>
      </c>
      <c r="J89" s="2" t="s">
        <v>276</v>
      </c>
      <c r="K89" s="2" t="s">
        <v>7</v>
      </c>
      <c r="L89" s="2" t="s">
        <v>8</v>
      </c>
    </row>
    <row r="90" spans="1:12" ht="72" customHeight="1">
      <c r="A90" s="1" t="s">
        <v>277</v>
      </c>
      <c r="B90" s="2" t="s">
        <v>278</v>
      </c>
      <c r="C90" s="1" t="s">
        <v>655</v>
      </c>
      <c r="D90" s="1" t="s">
        <v>625</v>
      </c>
      <c r="E90" s="1" t="s">
        <v>625</v>
      </c>
      <c r="F90" s="1" t="str">
        <f t="shared" si="3"/>
        <v>https://www.google.com/search?q=FIP (International Pharmaceutical Federation)+最近公告會期</v>
      </c>
      <c r="G90" s="1" t="str">
        <f t="shared" si="4"/>
        <v>https://www.google.com/search?q=FIP (International Pharmaceutical Federation)+最近公告徵稿截止日期</v>
      </c>
      <c r="H90" s="1" t="str">
        <f t="shared" si="5"/>
        <v>https://www.google.com/search?q=FIP+(International+Pharmaceutical+Federation)+official+website</v>
      </c>
      <c r="I90" s="2" t="s">
        <v>36</v>
      </c>
      <c r="J90" s="2" t="s">
        <v>37</v>
      </c>
      <c r="K90" s="2" t="s">
        <v>38</v>
      </c>
      <c r="L90" s="2" t="s">
        <v>8</v>
      </c>
    </row>
    <row r="91" spans="1:12" ht="72" customHeight="1">
      <c r="A91" s="1" t="s">
        <v>279</v>
      </c>
      <c r="B91" s="2" t="s">
        <v>280</v>
      </c>
      <c r="C91" s="1" t="s">
        <v>638</v>
      </c>
      <c r="D91" s="1" t="s">
        <v>632</v>
      </c>
      <c r="E91" s="1" t="s">
        <v>633</v>
      </c>
      <c r="F91" s="1" t="str">
        <f t="shared" si="3"/>
        <v>https://www.google.com/search?q=IPSF (International Pharmaceutical Students' Federation)+最近公告會期</v>
      </c>
      <c r="G91" s="1" t="str">
        <f t="shared" si="4"/>
        <v>https://www.google.com/search?q=IPSF (International Pharmaceutical Students' Federation)+最近公告徵稿截止日期</v>
      </c>
      <c r="H91" s="1" t="str">
        <f t="shared" si="5"/>
        <v>https://www.google.com/search?q=IPSF+(International+Pharmaceutical+Students'+Federation)+official+website</v>
      </c>
      <c r="I91" s="2" t="s">
        <v>281</v>
      </c>
      <c r="J91" s="2" t="s">
        <v>235</v>
      </c>
      <c r="K91" s="2" t="s">
        <v>236</v>
      </c>
      <c r="L91" s="2" t="s">
        <v>237</v>
      </c>
    </row>
    <row r="92" spans="1:12" ht="72" customHeight="1">
      <c r="A92" s="1" t="s">
        <v>282</v>
      </c>
      <c r="B92" s="2" t="s">
        <v>672</v>
      </c>
      <c r="C92" s="1" t="s">
        <v>640</v>
      </c>
      <c r="D92" s="1" t="s">
        <v>627</v>
      </c>
      <c r="E92" s="1" t="s">
        <v>629</v>
      </c>
      <c r="F92" s="1" t="str">
        <f t="shared" si="3"/>
        <v>https://www.google.com/search?q=IPPNW (International Physicians for Prevention Nuclear War)+最近公告會期</v>
      </c>
      <c r="G92" s="1" t="str">
        <f t="shared" si="4"/>
        <v>https://www.google.com/search?q=IPPNW (International Physicians for Prevention Nuclear War)+最近公告徵稿截止日期</v>
      </c>
      <c r="H92" s="1" t="str">
        <f t="shared" si="5"/>
        <v>https://www.google.com/search?q=IPPNW+(International+Physicians+for+Prevention+Nuclear+War)+official+website</v>
      </c>
      <c r="I92" s="2" t="s">
        <v>283</v>
      </c>
      <c r="J92" s="2" t="s">
        <v>56</v>
      </c>
      <c r="K92" s="2" t="s">
        <v>101</v>
      </c>
      <c r="L92" s="2" t="s">
        <v>58</v>
      </c>
    </row>
    <row r="93" spans="1:12" ht="72" customHeight="1">
      <c r="A93" s="1" t="s">
        <v>284</v>
      </c>
      <c r="B93" s="2" t="s">
        <v>285</v>
      </c>
      <c r="C93" s="1" t="s">
        <v>655</v>
      </c>
      <c r="D93" s="1" t="s">
        <v>625</v>
      </c>
      <c r="E93" s="1" t="s">
        <v>625</v>
      </c>
      <c r="F93" s="1" t="str">
        <f t="shared" si="3"/>
        <v>https://www.google.com/search?q=IPPF (International Planned Parenthood Federation)+最近公告會期</v>
      </c>
      <c r="G93" s="1" t="str">
        <f t="shared" si="4"/>
        <v>https://www.google.com/search?q=IPPF (International Planned Parenthood Federation)+最近公告徵稿截止日期</v>
      </c>
      <c r="H93" s="1" t="str">
        <f t="shared" si="5"/>
        <v>https://www.google.com/search?q=IPPF+(International+Planned+Parenthood+Federation)+official+website</v>
      </c>
      <c r="I93" s="2" t="s">
        <v>286</v>
      </c>
      <c r="J93" s="2" t="s">
        <v>287</v>
      </c>
      <c r="K93" s="2" t="s">
        <v>7</v>
      </c>
      <c r="L93" s="2" t="s">
        <v>8</v>
      </c>
    </row>
    <row r="94" spans="1:12" ht="72" customHeight="1">
      <c r="A94" s="1" t="s">
        <v>288</v>
      </c>
      <c r="B94" s="2" t="s">
        <v>289</v>
      </c>
      <c r="C94" s="1" t="s">
        <v>655</v>
      </c>
      <c r="D94" s="1" t="s">
        <v>625</v>
      </c>
      <c r="E94" s="1" t="s">
        <v>625</v>
      </c>
      <c r="F94" s="1" t="str">
        <f t="shared" si="3"/>
        <v>https://www.google.com/search?q=IPOS (International Psycho-Oncology Society)+最近公告會期</v>
      </c>
      <c r="G94" s="1" t="str">
        <f t="shared" si="4"/>
        <v>https://www.google.com/search?q=IPOS (International Psycho-Oncology Society)+最近公告徵稿截止日期</v>
      </c>
      <c r="H94" s="1" t="str">
        <f t="shared" si="5"/>
        <v>https://www.google.com/search?q=IPOS+(International+Psycho-Oncology+Society)+official+website</v>
      </c>
      <c r="I94" s="2" t="s">
        <v>290</v>
      </c>
      <c r="J94" s="2" t="s">
        <v>51</v>
      </c>
      <c r="K94" s="2" t="s">
        <v>291</v>
      </c>
      <c r="L94" s="2" t="s">
        <v>52</v>
      </c>
    </row>
    <row r="95" spans="1:12" ht="72" customHeight="1">
      <c r="A95" s="1" t="s">
        <v>292</v>
      </c>
      <c r="B95" s="2" t="s">
        <v>684</v>
      </c>
      <c r="C95" s="1" t="s">
        <v>638</v>
      </c>
      <c r="D95" s="1" t="s">
        <v>632</v>
      </c>
      <c r="E95" s="1" t="s">
        <v>628</v>
      </c>
      <c r="F95" s="1" t="str">
        <f t="shared" si="3"/>
        <v>https://www.google.com/search?q=IRC (International Rescue Committee, Inc.)+最近公告會期</v>
      </c>
      <c r="G95" s="1" t="str">
        <f t="shared" si="4"/>
        <v>https://www.google.com/search?q=IRC (International Rescue Committee, Inc.)+最近公告徵稿截止日期</v>
      </c>
      <c r="H95" s="1" t="str">
        <f t="shared" si="5"/>
        <v>https://www.google.com/search?q=IRC+(International+Rescue+Committee,+Inc.)+official+website</v>
      </c>
      <c r="I95" s="2" t="s">
        <v>293</v>
      </c>
      <c r="J95" s="2" t="s">
        <v>6</v>
      </c>
      <c r="K95" s="2" t="s">
        <v>7</v>
      </c>
      <c r="L95" s="2" t="s">
        <v>8</v>
      </c>
    </row>
    <row r="96" spans="1:12" ht="72" customHeight="1">
      <c r="A96" s="1" t="s">
        <v>294</v>
      </c>
      <c r="B96" s="2" t="s">
        <v>673</v>
      </c>
      <c r="C96" s="1" t="s">
        <v>655</v>
      </c>
      <c r="D96" s="1" t="s">
        <v>625</v>
      </c>
      <c r="E96" s="1" t="s">
        <v>625</v>
      </c>
      <c r="F96" s="1" t="str">
        <f t="shared" si="3"/>
        <v>https://www.google.com/search?q=ISBRA (International Society Biomedical Research on Alcoholism)+最近公告會期</v>
      </c>
      <c r="G96" s="1" t="str">
        <f t="shared" si="4"/>
        <v>https://www.google.com/search?q=ISBRA (International Society Biomedical Research on Alcoholism)+最近公告徵稿截止日期</v>
      </c>
      <c r="H96" s="1" t="str">
        <f t="shared" si="5"/>
        <v>https://www.google.com/search?q=ISBRA+(International+Society+Biomedical+Research+on+Alcoholism)+official+website</v>
      </c>
      <c r="I96" s="2" t="s">
        <v>295</v>
      </c>
      <c r="J96" s="2" t="s">
        <v>296</v>
      </c>
      <c r="K96" s="2" t="s">
        <v>7</v>
      </c>
      <c r="L96" s="2" t="s">
        <v>8</v>
      </c>
    </row>
    <row r="97" spans="1:12" ht="72" customHeight="1">
      <c r="A97" s="1" t="s">
        <v>297</v>
      </c>
      <c r="B97" s="2" t="s">
        <v>674</v>
      </c>
      <c r="C97" s="1" t="s">
        <v>640</v>
      </c>
      <c r="D97" s="1" t="s">
        <v>627</v>
      </c>
      <c r="E97" s="1" t="s">
        <v>629</v>
      </c>
      <c r="F97" s="1" t="str">
        <f t="shared" si="3"/>
        <v>https://www.google.com/search?q=ISEE (International Society for Environmental Epidemiology)+最近公告會期</v>
      </c>
      <c r="G97" s="1" t="str">
        <f t="shared" si="4"/>
        <v>https://www.google.com/search?q=ISEE (International Society for Environmental Epidemiology)+最近公告徵稿截止日期</v>
      </c>
      <c r="H97" s="1" t="str">
        <f t="shared" si="5"/>
        <v>https://www.google.com/search?q=ISEE+(International+Society+for+Environmental+Epidemiology)+official+website</v>
      </c>
      <c r="I97" s="2" t="s">
        <v>75</v>
      </c>
      <c r="J97" s="2" t="s">
        <v>56</v>
      </c>
      <c r="K97" s="2" t="s">
        <v>7</v>
      </c>
      <c r="L97" s="2" t="s">
        <v>58</v>
      </c>
    </row>
    <row r="98" spans="1:12" ht="72" customHeight="1">
      <c r="A98" s="1" t="s">
        <v>298</v>
      </c>
      <c r="B98" s="2" t="s">
        <v>740</v>
      </c>
      <c r="C98" s="1" t="s">
        <v>640</v>
      </c>
      <c r="D98" s="1" t="s">
        <v>627</v>
      </c>
      <c r="E98" s="1" t="s">
        <v>629</v>
      </c>
      <c r="F98" s="1" t="str">
        <f t="shared" si="3"/>
        <v>https://www.google.com/search?q=ISfTeH (International Society for Telemedicine and eHealth)+最近公告會期</v>
      </c>
      <c r="G98" s="1" t="str">
        <f t="shared" si="4"/>
        <v>https://www.google.com/search?q=ISfTeH (International Society for Telemedicine and eHealth)+最近公告徵稿截止日期</v>
      </c>
      <c r="H98" s="1" t="str">
        <f t="shared" si="5"/>
        <v>https://www.google.com/search?q=ISfTeH+(International+Society+for+Telemedicine+and+eHealth)+official+website</v>
      </c>
      <c r="I98" s="2" t="s">
        <v>55</v>
      </c>
      <c r="J98" s="2" t="s">
        <v>56</v>
      </c>
      <c r="K98" s="2" t="s">
        <v>57</v>
      </c>
      <c r="L98" s="2" t="s">
        <v>58</v>
      </c>
    </row>
    <row r="99" spans="1:12" ht="72" customHeight="1">
      <c r="A99" s="1" t="s">
        <v>299</v>
      </c>
      <c r="B99" s="2" t="s">
        <v>300</v>
      </c>
      <c r="C99" s="1" t="s">
        <v>655</v>
      </c>
      <c r="D99" s="1" t="s">
        <v>625</v>
      </c>
      <c r="E99" s="1" t="s">
        <v>625</v>
      </c>
      <c r="F99" s="1" t="str">
        <f t="shared" si="3"/>
        <v>https://www.google.com/search?q=ISA (International Society of Andrology)+最近公告會期</v>
      </c>
      <c r="G99" s="1" t="str">
        <f t="shared" si="4"/>
        <v>https://www.google.com/search?q=ISA (International Society of Andrology)+最近公告徵稿截止日期</v>
      </c>
      <c r="H99" s="1" t="str">
        <f t="shared" si="5"/>
        <v>https://www.google.com/search?q=ISA+(International+Society+of+Andrology)+official+website</v>
      </c>
      <c r="I99" s="2" t="s">
        <v>301</v>
      </c>
      <c r="J99" s="2" t="s">
        <v>302</v>
      </c>
      <c r="K99" s="2" t="s">
        <v>7</v>
      </c>
      <c r="L99" s="2" t="s">
        <v>8</v>
      </c>
    </row>
    <row r="100" spans="1:12" ht="72" customHeight="1">
      <c r="A100" s="1" t="s">
        <v>303</v>
      </c>
      <c r="B100" s="2" t="s">
        <v>304</v>
      </c>
      <c r="C100" s="1" t="s">
        <v>638</v>
      </c>
      <c r="D100" s="1" t="s">
        <v>632</v>
      </c>
      <c r="E100" s="1" t="s">
        <v>633</v>
      </c>
      <c r="F100" s="1" t="str">
        <f t="shared" si="3"/>
        <v>https://www.google.com/search?q=ISA (International Society of Audiology)+最近公告會期</v>
      </c>
      <c r="G100" s="1" t="str">
        <f t="shared" si="4"/>
        <v>https://www.google.com/search?q=ISA (International Society of Audiology)+最近公告徵稿截止日期</v>
      </c>
      <c r="H100" s="1" t="str">
        <f t="shared" si="5"/>
        <v>https://www.google.com/search?q=ISA+(International+Society+of+Audiology)+official+website</v>
      </c>
      <c r="I100" s="2" t="s">
        <v>305</v>
      </c>
      <c r="J100" s="2" t="s">
        <v>306</v>
      </c>
      <c r="K100" s="2" t="s">
        <v>169</v>
      </c>
      <c r="L100" s="2" t="s">
        <v>8</v>
      </c>
    </row>
    <row r="101" spans="1:12" ht="72" customHeight="1">
      <c r="A101" s="1" t="s">
        <v>307</v>
      </c>
      <c r="B101" s="2" t="s">
        <v>308</v>
      </c>
      <c r="C101" s="1" t="s">
        <v>630</v>
      </c>
      <c r="D101" s="1" t="s">
        <v>632</v>
      </c>
      <c r="E101" s="1" t="s">
        <v>628</v>
      </c>
      <c r="F101" s="1" t="str">
        <f t="shared" si="3"/>
        <v>https://www.google.com/search?q=ISDE (International Society of Doctors for Environment)+最近公告會期</v>
      </c>
      <c r="G101" s="1" t="str">
        <f t="shared" si="4"/>
        <v>https://www.google.com/search?q=ISDE (International Society of Doctors for Environment)+最近公告徵稿截止日期</v>
      </c>
      <c r="H101" s="1" t="str">
        <f t="shared" si="5"/>
        <v>https://www.google.com/search?q=ISDE+(International+Society+of+Doctors+for+Environment)+official+website</v>
      </c>
      <c r="I101" s="2" t="s">
        <v>309</v>
      </c>
      <c r="J101" s="2" t="s">
        <v>69</v>
      </c>
      <c r="K101" s="2" t="s">
        <v>7</v>
      </c>
      <c r="L101" s="2" t="s">
        <v>8</v>
      </c>
    </row>
    <row r="102" spans="1:12" ht="72" customHeight="1">
      <c r="A102" s="1" t="s">
        <v>310</v>
      </c>
      <c r="B102" s="2" t="s">
        <v>311</v>
      </c>
      <c r="C102" s="1" t="s">
        <v>655</v>
      </c>
      <c r="D102" s="1" t="s">
        <v>625</v>
      </c>
      <c r="E102" s="1" t="s">
        <v>625</v>
      </c>
      <c r="F102" s="1" t="str">
        <f t="shared" si="3"/>
        <v>https://www.google.com/search?q=ISN (International Society of Nephrology)+最近公告會期</v>
      </c>
      <c r="G102" s="1" t="str">
        <f t="shared" si="4"/>
        <v>https://www.google.com/search?q=ISN (International Society of Nephrology)+最近公告徵稿截止日期</v>
      </c>
      <c r="H102" s="1" t="str">
        <f t="shared" si="5"/>
        <v>https://www.google.com/search?q=ISN+(International+Society+of+Nephrology)+official+website</v>
      </c>
      <c r="I102" s="2" t="s">
        <v>312</v>
      </c>
      <c r="J102" s="2" t="s">
        <v>139</v>
      </c>
      <c r="K102" s="2" t="s">
        <v>7</v>
      </c>
      <c r="L102" s="2" t="s">
        <v>8</v>
      </c>
    </row>
    <row r="103" spans="1:12" ht="72" customHeight="1">
      <c r="A103" s="1" t="s">
        <v>313</v>
      </c>
      <c r="B103" s="2" t="s">
        <v>749</v>
      </c>
      <c r="C103" s="1" t="s">
        <v>638</v>
      </c>
      <c r="D103" s="1" t="s">
        <v>750</v>
      </c>
      <c r="E103" s="1" t="s">
        <v>751</v>
      </c>
      <c r="F103" s="1" t="str">
        <f>"https://www.google.com/search?q="&amp;B103&amp;"+最近公告會期"</f>
        <v>https://www.google.com/search?q=SICOT (International Society of Orthopaedic Surgery and Traumatology)+最近公告會期</v>
      </c>
      <c r="G103" s="1" t="str">
        <f>"https://www.google.com/search?q="&amp;B103&amp;"+最近公告徵稿截止日期"</f>
        <v>https://www.google.com/search?q=SICOT (International Society of Orthopaedic Surgery and Traumatology)+最近公告徵稿截止日期</v>
      </c>
      <c r="H103" s="1" t="str">
        <f t="shared" si="5"/>
        <v>https://www.google.com/search?q=SICOT+(International+Society+of+Orthopaedic+Surgery+and+Traumatology)+official+website</v>
      </c>
      <c r="I103" s="2" t="s">
        <v>314</v>
      </c>
      <c r="J103" s="2" t="s">
        <v>315</v>
      </c>
      <c r="K103" s="2" t="s">
        <v>7</v>
      </c>
      <c r="L103" s="2" t="s">
        <v>8</v>
      </c>
    </row>
    <row r="104" spans="1:12" ht="72" customHeight="1">
      <c r="A104" s="1" t="s">
        <v>316</v>
      </c>
      <c r="B104" s="2" t="s">
        <v>741</v>
      </c>
      <c r="C104" s="1" t="s">
        <v>640</v>
      </c>
      <c r="D104" s="1" t="s">
        <v>632</v>
      </c>
      <c r="E104" s="1" t="s">
        <v>633</v>
      </c>
      <c r="F104" s="1" t="str">
        <f t="shared" si="3"/>
        <v>https://www.google.com/search?q=ISPRM (International Society of Physical and Rehab Medicine)+最近公告會期</v>
      </c>
      <c r="G104" s="1" t="str">
        <f t="shared" si="4"/>
        <v>https://www.google.com/search?q=ISPRM (International Society of Physical and Rehab Medicine)+最近公告徵稿截止日期</v>
      </c>
      <c r="H104" s="1" t="str">
        <f t="shared" si="5"/>
        <v>https://www.google.com/search?q=ISPRM+(International+Society+of+Physical+and+Rehab+Medicine)+official+website</v>
      </c>
      <c r="I104" s="2" t="s">
        <v>317</v>
      </c>
      <c r="J104" s="2" t="s">
        <v>120</v>
      </c>
      <c r="K104" s="2" t="s">
        <v>7</v>
      </c>
      <c r="L104" s="2" t="s">
        <v>8</v>
      </c>
    </row>
    <row r="105" spans="1:12" ht="72" customHeight="1">
      <c r="A105" s="1" t="s">
        <v>318</v>
      </c>
      <c r="B105" s="2" t="s">
        <v>319</v>
      </c>
      <c r="C105" s="1" t="s">
        <v>638</v>
      </c>
      <c r="D105" s="1" t="s">
        <v>632</v>
      </c>
      <c r="E105" s="1" t="s">
        <v>628</v>
      </c>
      <c r="F105" s="1" t="str">
        <f t="shared" si="3"/>
        <v>https://www.google.com/search?q=ISR (International Society of Radiology)+最近公告會期</v>
      </c>
      <c r="G105" s="1" t="str">
        <f t="shared" si="4"/>
        <v>https://www.google.com/search?q=ISR (International Society of Radiology)+最近公告徵稿截止日期</v>
      </c>
      <c r="H105" s="1" t="str">
        <f t="shared" si="5"/>
        <v>https://www.google.com/search?q=ISR+(International+Society+of+Radiology)+official+website</v>
      </c>
      <c r="I105" s="2" t="s">
        <v>320</v>
      </c>
      <c r="J105" s="2" t="s">
        <v>191</v>
      </c>
      <c r="K105" s="2" t="s">
        <v>101</v>
      </c>
      <c r="L105" s="2" t="s">
        <v>8</v>
      </c>
    </row>
    <row r="106" spans="1:12" ht="72" customHeight="1">
      <c r="A106" s="1" t="s">
        <v>321</v>
      </c>
      <c r="B106" s="2" t="s">
        <v>742</v>
      </c>
      <c r="C106" s="1" t="s">
        <v>640</v>
      </c>
      <c r="D106" s="1" t="s">
        <v>632</v>
      </c>
      <c r="E106" s="1" t="s">
        <v>633</v>
      </c>
      <c r="F106" s="1" t="str">
        <f t="shared" si="3"/>
        <v>https://www.google.com/search?q=ISTH (International Society Thrombosis and Haemostasis)+最近公告會期</v>
      </c>
      <c r="G106" s="1" t="str">
        <f t="shared" si="4"/>
        <v>https://www.google.com/search?q=ISTH (International Society Thrombosis and Haemostasis)+最近公告徵稿截止日期</v>
      </c>
      <c r="H106" s="1" t="str">
        <f t="shared" si="5"/>
        <v>https://www.google.com/search?q=ISTH+(International+Society+Thrombosis+and+Haemostasis)+official+website</v>
      </c>
      <c r="I106" s="2" t="s">
        <v>322</v>
      </c>
      <c r="J106" s="2" t="s">
        <v>323</v>
      </c>
      <c r="K106" s="2" t="s">
        <v>7</v>
      </c>
      <c r="L106" s="2" t="s">
        <v>8</v>
      </c>
    </row>
    <row r="107" spans="1:12" ht="72" customHeight="1">
      <c r="A107" s="1" t="s">
        <v>324</v>
      </c>
      <c r="B107" s="2" t="s">
        <v>325</v>
      </c>
      <c r="C107" s="1" t="s">
        <v>640</v>
      </c>
      <c r="D107" s="1" t="s">
        <v>627</v>
      </c>
      <c r="E107" s="1" t="s">
        <v>629</v>
      </c>
      <c r="F107" s="1" t="str">
        <f t="shared" si="3"/>
        <v>https://www.google.com/search?q=ISCOS (International Spinal Cord Society)+最近公告會期</v>
      </c>
      <c r="G107" s="1" t="str">
        <f t="shared" si="4"/>
        <v>https://www.google.com/search?q=ISCOS (International Spinal Cord Society)+最近公告徵稿截止日期</v>
      </c>
      <c r="H107" s="1" t="str">
        <f t="shared" si="5"/>
        <v>https://www.google.com/search?q=ISCOS+(International+Spinal+Cord+Society)+official+website</v>
      </c>
      <c r="I107" s="2" t="s">
        <v>326</v>
      </c>
      <c r="J107" s="2" t="s">
        <v>327</v>
      </c>
      <c r="K107" s="2" t="s">
        <v>7</v>
      </c>
      <c r="L107" s="2" t="s">
        <v>8</v>
      </c>
    </row>
    <row r="108" spans="1:12" ht="72" customHeight="1">
      <c r="A108" s="1" t="s">
        <v>328</v>
      </c>
      <c r="B108" s="2" t="s">
        <v>675</v>
      </c>
      <c r="C108" s="1" t="s">
        <v>655</v>
      </c>
      <c r="D108" s="1" t="s">
        <v>625</v>
      </c>
      <c r="E108" s="1" t="s">
        <v>625</v>
      </c>
      <c r="F108" s="1" t="str">
        <f t="shared" si="3"/>
        <v>https://www.google.com/search?q=IUSTI (International Union against Sexually Transmitted Infections)+最近公告會期</v>
      </c>
      <c r="G108" s="1" t="str">
        <f t="shared" si="4"/>
        <v>https://www.google.com/search?q=IUSTI (International Union against Sexually Transmitted Infections)+最近公告徵稿截止日期</v>
      </c>
      <c r="H108" s="1" t="str">
        <f t="shared" si="5"/>
        <v>https://www.google.com/search?q=IUSTI+(International+Union+against+Sexually+Transmitted+Infections)+official+website</v>
      </c>
      <c r="I108" s="2" t="s">
        <v>176</v>
      </c>
      <c r="J108" s="2" t="s">
        <v>139</v>
      </c>
      <c r="K108" s="2" t="s">
        <v>7</v>
      </c>
      <c r="L108" s="2" t="s">
        <v>8</v>
      </c>
    </row>
    <row r="109" spans="1:12" ht="72" customHeight="1">
      <c r="A109" s="1" t="s">
        <v>329</v>
      </c>
      <c r="B109" s="2" t="s">
        <v>743</v>
      </c>
      <c r="C109" s="1" t="s">
        <v>638</v>
      </c>
      <c r="D109" s="1" t="s">
        <v>632</v>
      </c>
      <c r="E109" s="1" t="s">
        <v>628</v>
      </c>
      <c r="F109" s="1" t="str">
        <f t="shared" si="3"/>
        <v>https://www.google.com/search?q=The Union (International Union Against TB and Lung Disease)+最近公告會期</v>
      </c>
      <c r="G109" s="1" t="str">
        <f t="shared" si="4"/>
        <v>https://www.google.com/search?q=The Union (International Union Against TB and Lung Disease)+最近公告徵稿截止日期</v>
      </c>
      <c r="H109" s="1" t="str">
        <f t="shared" si="5"/>
        <v>https://www.google.com/search?q=The+Union+(International+Union+Against+TB+and+Lung+Disease)+official+website</v>
      </c>
      <c r="I109" s="2" t="s">
        <v>330</v>
      </c>
      <c r="J109" s="2" t="s">
        <v>56</v>
      </c>
      <c r="K109" s="2" t="s">
        <v>331</v>
      </c>
      <c r="L109" s="2" t="s">
        <v>58</v>
      </c>
    </row>
    <row r="110" spans="1:12" ht="72" customHeight="1">
      <c r="A110" s="1" t="s">
        <v>332</v>
      </c>
      <c r="B110" s="2" t="s">
        <v>744</v>
      </c>
      <c r="C110" s="1" t="s">
        <v>655</v>
      </c>
      <c r="D110" s="1" t="s">
        <v>625</v>
      </c>
      <c r="E110" s="1" t="s">
        <v>625</v>
      </c>
      <c r="F110" s="1" t="str">
        <f t="shared" si="3"/>
        <v>https://www.google.com/search?q=IUHPE (International Union Health Promotion and Education)+最近公告會期</v>
      </c>
      <c r="G110" s="1" t="str">
        <f t="shared" si="4"/>
        <v>https://www.google.com/search?q=IUHPE (International Union Health Promotion and Education)+最近公告徵稿截止日期</v>
      </c>
      <c r="H110" s="1" t="str">
        <f t="shared" si="5"/>
        <v>https://www.google.com/search?q=IUHPE+(International+Union+Health+Promotion+and+Education)+official+website</v>
      </c>
      <c r="I110" s="2" t="s">
        <v>17</v>
      </c>
      <c r="J110" s="2" t="s">
        <v>18</v>
      </c>
      <c r="K110" s="2" t="s">
        <v>19</v>
      </c>
      <c r="L110" s="2" t="s">
        <v>20</v>
      </c>
    </row>
    <row r="111" spans="1:12" ht="72" customHeight="1">
      <c r="A111" s="1" t="s">
        <v>333</v>
      </c>
      <c r="B111" s="2" t="s">
        <v>334</v>
      </c>
      <c r="C111" s="1" t="s">
        <v>640</v>
      </c>
      <c r="D111" s="1" t="s">
        <v>627</v>
      </c>
      <c r="E111" s="1" t="s">
        <v>629</v>
      </c>
      <c r="F111" s="1" t="str">
        <f t="shared" si="3"/>
        <v>https://www.google.com/search?q=UIA (International Union of Architects)+最近公告會期</v>
      </c>
      <c r="G111" s="1" t="str">
        <f t="shared" si="4"/>
        <v>https://www.google.com/search?q=UIA (International Union of Architects)+最近公告徵稿截止日期</v>
      </c>
      <c r="H111" s="1" t="str">
        <f t="shared" si="5"/>
        <v>https://www.google.com/search?q=UIA+(International+Union+of+Architects)+official+website</v>
      </c>
      <c r="I111" s="2" t="s">
        <v>335</v>
      </c>
      <c r="J111" s="2" t="s">
        <v>56</v>
      </c>
      <c r="K111" s="2" t="s">
        <v>7</v>
      </c>
      <c r="L111" s="2" t="s">
        <v>58</v>
      </c>
    </row>
    <row r="112" spans="1:12" ht="72" customHeight="1">
      <c r="A112" s="1" t="s">
        <v>336</v>
      </c>
      <c r="B112" s="2" t="s">
        <v>745</v>
      </c>
      <c r="C112" s="1" t="s">
        <v>640</v>
      </c>
      <c r="D112" s="1" t="s">
        <v>632</v>
      </c>
      <c r="E112" s="1" t="s">
        <v>633</v>
      </c>
      <c r="F112" s="1" t="str">
        <f t="shared" si="3"/>
        <v>https://www.google.com/search?q=IUPHAR (International Union Basic and Clinical Pharmacology)+最近公告會期</v>
      </c>
      <c r="G112" s="1" t="str">
        <f t="shared" si="4"/>
        <v>https://www.google.com/search?q=IUPHAR (International Union Basic and Clinical Pharmacology)+最近公告徵稿截止日期</v>
      </c>
      <c r="H112" s="1" t="str">
        <f t="shared" si="5"/>
        <v>https://www.google.com/search?q=IUPHAR+(International+Union+Basic+and+Clinical+Pharmacology)+official+website</v>
      </c>
      <c r="I112" s="2" t="s">
        <v>337</v>
      </c>
      <c r="J112" s="2" t="s">
        <v>37</v>
      </c>
      <c r="K112" s="2" t="s">
        <v>38</v>
      </c>
      <c r="L112" s="2" t="s">
        <v>8</v>
      </c>
    </row>
    <row r="113" spans="1:12" ht="72" customHeight="1">
      <c r="A113" s="1" t="s">
        <v>338</v>
      </c>
      <c r="B113" s="2" t="s">
        <v>339</v>
      </c>
      <c r="C113" s="1" t="s">
        <v>640</v>
      </c>
      <c r="D113" s="1" t="s">
        <v>627</v>
      </c>
      <c r="E113" s="1" t="s">
        <v>629</v>
      </c>
      <c r="F113" s="1" t="str">
        <f t="shared" si="3"/>
        <v>https://www.google.com/search?q=IUIS (International Union of Immunological Societies)+最近公告會期</v>
      </c>
      <c r="G113" s="1" t="str">
        <f t="shared" si="4"/>
        <v>https://www.google.com/search?q=IUIS (International Union of Immunological Societies)+最近公告徵稿截止日期</v>
      </c>
      <c r="H113" s="1" t="str">
        <f t="shared" si="5"/>
        <v>https://www.google.com/search?q=IUIS+(International+Union+of+Immunological+Societies)+official+website</v>
      </c>
      <c r="I113" s="2" t="s">
        <v>340</v>
      </c>
      <c r="J113" s="2" t="s">
        <v>323</v>
      </c>
      <c r="K113" s="2" t="s">
        <v>7</v>
      </c>
      <c r="L113" s="2" t="s">
        <v>8</v>
      </c>
    </row>
    <row r="114" spans="1:12" ht="72" customHeight="1">
      <c r="A114" s="1" t="s">
        <v>341</v>
      </c>
      <c r="B114" s="2" t="s">
        <v>342</v>
      </c>
      <c r="C114" s="1" t="s">
        <v>655</v>
      </c>
      <c r="D114" s="1" t="s">
        <v>625</v>
      </c>
      <c r="E114" s="1" t="s">
        <v>625</v>
      </c>
      <c r="F114" s="1" t="str">
        <f t="shared" si="3"/>
        <v>https://www.google.com/search?q=IUPsyS (International Union of Psychological Science)+最近公告會期</v>
      </c>
      <c r="G114" s="1" t="str">
        <f t="shared" si="4"/>
        <v>https://www.google.com/search?q=IUPsyS (International Union of Psychological Science)+最近公告徵稿截止日期</v>
      </c>
      <c r="H114" s="1" t="str">
        <f t="shared" si="5"/>
        <v>https://www.google.com/search?q=IUPsyS+(International+Union+of+Psychological+Science)+official+website</v>
      </c>
      <c r="I114" s="2" t="s">
        <v>343</v>
      </c>
      <c r="J114" s="2" t="s">
        <v>158</v>
      </c>
      <c r="K114" s="2" t="s">
        <v>291</v>
      </c>
      <c r="L114" s="2" t="s">
        <v>8</v>
      </c>
    </row>
    <row r="115" spans="1:12" ht="72" customHeight="1">
      <c r="A115" s="1" t="s">
        <v>344</v>
      </c>
      <c r="B115" s="2" t="s">
        <v>345</v>
      </c>
      <c r="C115" s="1" t="s">
        <v>638</v>
      </c>
      <c r="D115" s="1" t="s">
        <v>632</v>
      </c>
      <c r="E115" s="1" t="s">
        <v>628</v>
      </c>
      <c r="F115" s="1" t="str">
        <f t="shared" si="3"/>
        <v>https://www.google.com/search?q=IUTOX (International Union of Toxicology)+最近公告會期</v>
      </c>
      <c r="G115" s="1" t="str">
        <f t="shared" si="4"/>
        <v>https://www.google.com/search?q=IUTOX (International Union of Toxicology)+最近公告徵稿截止日期</v>
      </c>
      <c r="H115" s="1" t="str">
        <f t="shared" si="5"/>
        <v>https://www.google.com/search?q=IUTOX+(International+Union+of+Toxicology)+official+website</v>
      </c>
      <c r="I115" s="2" t="s">
        <v>248</v>
      </c>
      <c r="J115" s="2" t="s">
        <v>37</v>
      </c>
      <c r="K115" s="2" t="s">
        <v>38</v>
      </c>
      <c r="L115" s="2" t="s">
        <v>8</v>
      </c>
    </row>
    <row r="116" spans="1:12" ht="72" customHeight="1">
      <c r="A116" s="1" t="s">
        <v>346</v>
      </c>
      <c r="B116" s="2" t="s">
        <v>347</v>
      </c>
      <c r="C116" s="1" t="s">
        <v>640</v>
      </c>
      <c r="D116" s="1" t="s">
        <v>632</v>
      </c>
      <c r="E116" s="1" t="s">
        <v>633</v>
      </c>
      <c r="F116" s="1" t="str">
        <f t="shared" si="3"/>
        <v>https://www.google.com/search?q=IWA (International Water Association)+最近公告會期</v>
      </c>
      <c r="G116" s="1" t="str">
        <f t="shared" si="4"/>
        <v>https://www.google.com/search?q=IWA (International Water Association)+最近公告徵稿截止日期</v>
      </c>
      <c r="H116" s="1" t="str">
        <f t="shared" si="5"/>
        <v>https://www.google.com/search?q=IWA+(International+Water+Association)+official+website</v>
      </c>
      <c r="I116" s="2" t="s">
        <v>68</v>
      </c>
      <c r="J116" s="2" t="s">
        <v>69</v>
      </c>
      <c r="K116" s="2" t="s">
        <v>7</v>
      </c>
      <c r="L116" s="2" t="s">
        <v>8</v>
      </c>
    </row>
    <row r="117" spans="1:12" ht="72" customHeight="1">
      <c r="A117" s="1" t="s">
        <v>348</v>
      </c>
      <c r="B117" s="2" t="s">
        <v>349</v>
      </c>
      <c r="C117" s="1" t="s">
        <v>640</v>
      </c>
      <c r="D117" s="1" t="s">
        <v>627</v>
      </c>
      <c r="E117" s="1" t="s">
        <v>629</v>
      </c>
      <c r="F117" s="1" t="str">
        <f t="shared" si="3"/>
        <v>https://www.google.com/search?q=IGN (Iodine Global Network)+最近公告會期</v>
      </c>
      <c r="G117" s="1" t="str">
        <f t="shared" si="4"/>
        <v>https://www.google.com/search?q=IGN (Iodine Global Network)+最近公告徵稿截止日期</v>
      </c>
      <c r="H117" s="1" t="str">
        <f t="shared" si="5"/>
        <v>https://www.google.com/search?q=IGN+(Iodine+Global+Network)+official+website</v>
      </c>
      <c r="I117" s="2" t="s">
        <v>335</v>
      </c>
      <c r="J117" s="2" t="s">
        <v>56</v>
      </c>
      <c r="K117" s="2" t="s">
        <v>7</v>
      </c>
      <c r="L117" s="2" t="s">
        <v>58</v>
      </c>
    </row>
    <row r="118" spans="1:12" ht="72" customHeight="1">
      <c r="A118" s="1" t="s">
        <v>350</v>
      </c>
      <c r="B118" s="2" t="s">
        <v>351</v>
      </c>
      <c r="C118" s="1" t="s">
        <v>655</v>
      </c>
      <c r="D118" s="1" t="s">
        <v>625</v>
      </c>
      <c r="E118" s="1" t="s">
        <v>625</v>
      </c>
      <c r="F118" s="1" t="str">
        <f t="shared" si="3"/>
        <v>https://www.google.com/search?q=KNCV (KNCV Tuberculosis Foundation)+最近公告會期</v>
      </c>
      <c r="G118" s="1" t="str">
        <f t="shared" si="4"/>
        <v>https://www.google.com/search?q=KNCV (KNCV Tuberculosis Foundation)+最近公告徵稿截止日期</v>
      </c>
      <c r="H118" s="1" t="str">
        <f t="shared" si="5"/>
        <v>https://www.google.com/search?q=KNCV+(KNCV+Tuberculosis+Foundation)+official+website</v>
      </c>
      <c r="I118" s="2" t="s">
        <v>352</v>
      </c>
      <c r="J118" s="2" t="s">
        <v>139</v>
      </c>
      <c r="K118" s="2" t="s">
        <v>7</v>
      </c>
      <c r="L118" s="2" t="s">
        <v>8</v>
      </c>
    </row>
    <row r="119" spans="1:12" ht="72" customHeight="1">
      <c r="A119" s="1" t="s">
        <v>353</v>
      </c>
      <c r="B119" s="2" t="s">
        <v>685</v>
      </c>
      <c r="C119" s="1" t="s">
        <v>640</v>
      </c>
      <c r="D119" s="1" t="s">
        <v>632</v>
      </c>
      <c r="E119" s="1" t="s">
        <v>628</v>
      </c>
      <c r="F119" s="1" t="str">
        <f t="shared" si="3"/>
        <v>https://www.google.com/search?q=KEI (Knowledge Ecology International, Inc.)+最近公告會期</v>
      </c>
      <c r="G119" s="1" t="str">
        <f t="shared" si="4"/>
        <v>https://www.google.com/search?q=KEI (Knowledge Ecology International, Inc.)+最近公告徵稿截止日期</v>
      </c>
      <c r="H119" s="1" t="str">
        <f t="shared" si="5"/>
        <v>https://www.google.com/search?q=KEI+(Knowledge+Ecology+International,+Inc.)+official+website</v>
      </c>
      <c r="I119" s="2" t="s">
        <v>354</v>
      </c>
      <c r="J119" s="2" t="s">
        <v>355</v>
      </c>
      <c r="K119" s="2" t="s">
        <v>38</v>
      </c>
      <c r="L119" s="2" t="s">
        <v>8</v>
      </c>
    </row>
    <row r="120" spans="1:12" ht="72" customHeight="1">
      <c r="A120" s="1" t="s">
        <v>356</v>
      </c>
      <c r="B120" s="2" t="s">
        <v>357</v>
      </c>
      <c r="C120" s="1" t="s">
        <v>640</v>
      </c>
      <c r="D120" s="1" t="s">
        <v>627</v>
      </c>
      <c r="E120" s="1" t="s">
        <v>629</v>
      </c>
      <c r="F120" s="1" t="str">
        <f t="shared" si="3"/>
        <v>https://www.google.com/search?q=LTB (Lifting The Burden)+最近公告會期</v>
      </c>
      <c r="G120" s="1" t="str">
        <f t="shared" si="4"/>
        <v>https://www.google.com/search?q=LTB (Lifting The Burden)+最近公告徵稿截止日期</v>
      </c>
      <c r="H120" s="1" t="str">
        <f t="shared" si="5"/>
        <v>https://www.google.com/search?q=LTB+(Lifting+The+Burden)+official+website</v>
      </c>
      <c r="I120" s="2" t="s">
        <v>265</v>
      </c>
      <c r="J120" s="2" t="s">
        <v>56</v>
      </c>
      <c r="K120" s="2" t="s">
        <v>7</v>
      </c>
      <c r="L120" s="2" t="s">
        <v>58</v>
      </c>
    </row>
    <row r="121" spans="1:12" ht="72" customHeight="1">
      <c r="A121" s="1" t="s">
        <v>358</v>
      </c>
      <c r="B121" s="2" t="s">
        <v>686</v>
      </c>
      <c r="C121" s="1" t="s">
        <v>640</v>
      </c>
      <c r="D121" s="1" t="s">
        <v>632</v>
      </c>
      <c r="E121" s="1" t="s">
        <v>633</v>
      </c>
      <c r="F121" s="1" t="str">
        <f t="shared" si="3"/>
        <v>https://www.google.com/search?q=MOD (March of Dimes Inc.)+最近公告會期</v>
      </c>
      <c r="G121" s="1" t="str">
        <f t="shared" si="4"/>
        <v>https://www.google.com/search?q=MOD (March of Dimes Inc.)+最近公告徵稿截止日期</v>
      </c>
      <c r="H121" s="1" t="str">
        <f t="shared" si="5"/>
        <v>https://www.google.com/search?q=MOD+(March+of+Dimes+Inc.)+official+website</v>
      </c>
      <c r="I121" s="2" t="s">
        <v>359</v>
      </c>
      <c r="J121" s="2" t="s">
        <v>360</v>
      </c>
      <c r="K121" s="2" t="s">
        <v>7</v>
      </c>
      <c r="L121" s="2" t="s">
        <v>8</v>
      </c>
    </row>
    <row r="122" spans="1:12" ht="72" customHeight="1">
      <c r="A122" s="1" t="s">
        <v>361</v>
      </c>
      <c r="B122" s="2" t="s">
        <v>362</v>
      </c>
      <c r="C122" s="1" t="s">
        <v>655</v>
      </c>
      <c r="D122" s="1" t="s">
        <v>625</v>
      </c>
      <c r="E122" s="1" t="s">
        <v>625</v>
      </c>
      <c r="F122" s="1" t="str">
        <f t="shared" si="3"/>
        <v>https://www.google.com/search?q=MdM (Médecins du Monde)+最近公告會期</v>
      </c>
      <c r="G122" s="1" t="str">
        <f t="shared" si="4"/>
        <v>https://www.google.com/search?q=MdM (Médecins du Monde)+最近公告徵稿截止日期</v>
      </c>
      <c r="H122" s="1" t="str">
        <f t="shared" si="5"/>
        <v>https://www.google.com/search?q=MdM+(Médecins+du+Monde)+official+website</v>
      </c>
      <c r="I122" s="2" t="s">
        <v>63</v>
      </c>
      <c r="J122" s="2" t="s">
        <v>6</v>
      </c>
      <c r="K122" s="2" t="s">
        <v>7</v>
      </c>
      <c r="L122" s="2" t="s">
        <v>8</v>
      </c>
    </row>
    <row r="123" spans="1:12" ht="72" customHeight="1">
      <c r="A123" s="1" t="s">
        <v>363</v>
      </c>
      <c r="B123" s="2" t="s">
        <v>364</v>
      </c>
      <c r="C123" s="1" t="s">
        <v>640</v>
      </c>
      <c r="D123" s="1" t="s">
        <v>632</v>
      </c>
      <c r="E123" s="1" t="s">
        <v>628</v>
      </c>
      <c r="F123" s="1" t="str">
        <f t="shared" si="3"/>
        <v>https://www.google.com/search?q=MSF (Médecins Sans Frontières International)+最近公告會期</v>
      </c>
      <c r="G123" s="1" t="str">
        <f t="shared" si="4"/>
        <v>https://www.google.com/search?q=MSF (Médecins Sans Frontières International)+最近公告徵稿截止日期</v>
      </c>
      <c r="H123" s="1" t="str">
        <f t="shared" si="5"/>
        <v>https://www.google.com/search?q=MSF+(Médecins+Sans+Frontières+International)+official+website</v>
      </c>
      <c r="I123" s="2" t="s">
        <v>365</v>
      </c>
      <c r="J123" s="2" t="s">
        <v>6</v>
      </c>
      <c r="K123" s="2" t="s">
        <v>7</v>
      </c>
      <c r="L123" s="2" t="s">
        <v>8</v>
      </c>
    </row>
    <row r="124" spans="1:12" ht="72" customHeight="1">
      <c r="A124" s="1" t="s">
        <v>366</v>
      </c>
      <c r="B124" s="2" t="s">
        <v>367</v>
      </c>
      <c r="C124" s="1" t="s">
        <v>640</v>
      </c>
      <c r="D124" s="1" t="s">
        <v>632</v>
      </c>
      <c r="E124" s="1" t="s">
        <v>633</v>
      </c>
      <c r="F124" s="1" t="str">
        <f t="shared" si="3"/>
        <v>https://www.google.com/search?q=MWIA (Medical Women's International Association)+最近公告會期</v>
      </c>
      <c r="G124" s="1" t="str">
        <f t="shared" si="4"/>
        <v>https://www.google.com/search?q=MWIA (Medical Women's International Association)+最近公告徵稿截止日期</v>
      </c>
      <c r="H124" s="1" t="str">
        <f t="shared" si="5"/>
        <v>https://www.google.com/search?q=MWIA+(Medical+Women's+International+Association)+official+website</v>
      </c>
      <c r="I124" s="2" t="s">
        <v>368</v>
      </c>
      <c r="J124" s="2" t="s">
        <v>56</v>
      </c>
      <c r="K124" s="2" t="s">
        <v>7</v>
      </c>
      <c r="L124" s="2" t="s">
        <v>58</v>
      </c>
    </row>
    <row r="125" spans="1:12" ht="72" customHeight="1">
      <c r="A125" s="1" t="s">
        <v>369</v>
      </c>
      <c r="B125" s="2" t="s">
        <v>370</v>
      </c>
      <c r="C125" s="1" t="s">
        <v>640</v>
      </c>
      <c r="D125" s="1" t="s">
        <v>627</v>
      </c>
      <c r="E125" s="1" t="s">
        <v>629</v>
      </c>
      <c r="F125" s="1" t="str">
        <f t="shared" si="3"/>
        <v>https://www.google.com/search?q=MPP (Medicines Patent Pool Foundation)+最近公告會期</v>
      </c>
      <c r="G125" s="1" t="str">
        <f t="shared" si="4"/>
        <v>https://www.google.com/search?q=MPP (Medicines Patent Pool Foundation)+最近公告徵稿截止日期</v>
      </c>
      <c r="H125" s="1" t="str">
        <f t="shared" si="5"/>
        <v>https://www.google.com/search?q=MPP+(Medicines+Patent+Pool+Foundation)+official+website</v>
      </c>
      <c r="I125" s="2" t="s">
        <v>36</v>
      </c>
      <c r="J125" s="2" t="s">
        <v>37</v>
      </c>
      <c r="K125" s="2" t="s">
        <v>38</v>
      </c>
      <c r="L125" s="2" t="s">
        <v>8</v>
      </c>
    </row>
    <row r="126" spans="1:12" ht="72" customHeight="1">
      <c r="A126" s="1" t="s">
        <v>371</v>
      </c>
      <c r="B126" s="2" t="s">
        <v>372</v>
      </c>
      <c r="C126" s="1" t="s">
        <v>655</v>
      </c>
      <c r="D126" s="1" t="s">
        <v>625</v>
      </c>
      <c r="E126" s="1" t="s">
        <v>625</v>
      </c>
      <c r="F126" s="1" t="str">
        <f t="shared" si="3"/>
        <v>https://www.google.com/search?q=MMI (Medicus Mundi International)+最近公告會期</v>
      </c>
      <c r="G126" s="1" t="str">
        <f t="shared" si="4"/>
        <v>https://www.google.com/search?q=MMI (Medicus Mundi International)+最近公告徵稿截止日期</v>
      </c>
      <c r="H126" s="1" t="str">
        <f t="shared" si="5"/>
        <v>https://www.google.com/search?q=MMI+(Medicus+Mundi+International)+official+website</v>
      </c>
      <c r="I126" s="2" t="s">
        <v>373</v>
      </c>
      <c r="J126" s="2" t="s">
        <v>6</v>
      </c>
      <c r="K126" s="2" t="s">
        <v>7</v>
      </c>
      <c r="L126" s="2" t="s">
        <v>8</v>
      </c>
    </row>
    <row r="127" spans="1:12" ht="72" customHeight="1">
      <c r="A127" s="1" t="s">
        <v>374</v>
      </c>
      <c r="B127" s="2" t="s">
        <v>375</v>
      </c>
      <c r="C127" s="1" t="s">
        <v>640</v>
      </c>
      <c r="D127" s="1" t="s">
        <v>632</v>
      </c>
      <c r="E127" s="1" t="s">
        <v>628</v>
      </c>
      <c r="F127" s="1" t="str">
        <f t="shared" si="3"/>
        <v>https://www.google.com/search?q=MMV (MMV Medicines for Malaria Venture)+最近公告會期</v>
      </c>
      <c r="G127" s="1" t="str">
        <f t="shared" si="4"/>
        <v>https://www.google.com/search?q=MMV (MMV Medicines for Malaria Venture)+最近公告徵稿截止日期</v>
      </c>
      <c r="H127" s="1" t="str">
        <f t="shared" si="5"/>
        <v>https://www.google.com/search?q=MMV+(MMV+Medicines+for+Malaria+Venture)+official+website</v>
      </c>
      <c r="I127" s="2" t="s">
        <v>72</v>
      </c>
      <c r="J127" s="2" t="s">
        <v>73</v>
      </c>
      <c r="K127" s="2" t="s">
        <v>38</v>
      </c>
      <c r="L127" s="2" t="s">
        <v>8</v>
      </c>
    </row>
    <row r="128" spans="1:12" ht="72" customHeight="1">
      <c r="A128" s="1" t="s">
        <v>376</v>
      </c>
      <c r="B128" s="2" t="s">
        <v>377</v>
      </c>
      <c r="C128" s="1" t="s">
        <v>640</v>
      </c>
      <c r="D128" s="1" t="s">
        <v>632</v>
      </c>
      <c r="E128" s="1" t="s">
        <v>633</v>
      </c>
      <c r="F128" s="1" t="str">
        <f t="shared" si="3"/>
        <v>https://www.google.com/search?q=Movendi (Movendi International)+最近公告會期</v>
      </c>
      <c r="G128" s="1" t="str">
        <f t="shared" si="4"/>
        <v>https://www.google.com/search?q=Movendi (Movendi International)+最近公告徵稿截止日期</v>
      </c>
      <c r="H128" s="1" t="str">
        <f t="shared" si="5"/>
        <v>https://www.google.com/search?q=Movendi+(Movendi+International)+official+website</v>
      </c>
      <c r="I128" s="2" t="s">
        <v>17</v>
      </c>
      <c r="J128" s="2" t="s">
        <v>18</v>
      </c>
      <c r="K128" s="2" t="s">
        <v>19</v>
      </c>
      <c r="L128" s="2" t="s">
        <v>20</v>
      </c>
    </row>
    <row r="129" spans="1:12" ht="72" customHeight="1">
      <c r="A129" s="1" t="s">
        <v>378</v>
      </c>
      <c r="B129" s="2" t="s">
        <v>379</v>
      </c>
      <c r="C129" s="1" t="s">
        <v>640</v>
      </c>
      <c r="D129" s="1" t="s">
        <v>627</v>
      </c>
      <c r="E129" s="1" t="s">
        <v>629</v>
      </c>
      <c r="F129" s="1" t="str">
        <f t="shared" si="3"/>
        <v>https://www.google.com/search?q=MSIF (Multiple Sclerosis International Federation)+最近公告會期</v>
      </c>
      <c r="G129" s="1" t="str">
        <f t="shared" si="4"/>
        <v>https://www.google.com/search?q=MSIF (Multiple Sclerosis International Federation)+最近公告徵稿截止日期</v>
      </c>
      <c r="H129" s="1" t="str">
        <f t="shared" si="5"/>
        <v>https://www.google.com/search?q=MSIF+(Multiple+Sclerosis+International+Federation)+official+website</v>
      </c>
      <c r="I129" s="2" t="s">
        <v>352</v>
      </c>
      <c r="J129" s="2" t="s">
        <v>139</v>
      </c>
      <c r="K129" s="2" t="s">
        <v>7</v>
      </c>
      <c r="L129" s="2" t="s">
        <v>8</v>
      </c>
    </row>
    <row r="130" spans="1:12" ht="72" customHeight="1">
      <c r="A130" s="1" t="s">
        <v>380</v>
      </c>
      <c r="B130" s="2" t="s">
        <v>381</v>
      </c>
      <c r="C130" s="1" t="s">
        <v>655</v>
      </c>
      <c r="D130" s="1" t="s">
        <v>625</v>
      </c>
      <c r="E130" s="1" t="s">
        <v>625</v>
      </c>
      <c r="F130" s="1" t="str">
        <f t="shared" si="3"/>
        <v>https://www.google.com/search?q=NCDA (NCD Alliance)+最近公告會期</v>
      </c>
      <c r="G130" s="1" t="str">
        <f t="shared" si="4"/>
        <v>https://www.google.com/search?q=NCDA (NCD Alliance)+最近公告徵稿截止日期</v>
      </c>
      <c r="H130" s="1" t="str">
        <f t="shared" si="5"/>
        <v>https://www.google.com/search?q=NCDA+(NCD+Alliance)+official+website</v>
      </c>
      <c r="I130" s="2" t="s">
        <v>382</v>
      </c>
      <c r="J130" s="2" t="s">
        <v>56</v>
      </c>
      <c r="K130" s="2" t="s">
        <v>7</v>
      </c>
      <c r="L130" s="2" t="s">
        <v>58</v>
      </c>
    </row>
    <row r="131" spans="1:12" ht="72" customHeight="1">
      <c r="A131" s="1" t="s">
        <v>383</v>
      </c>
      <c r="B131" s="2" t="s">
        <v>384</v>
      </c>
      <c r="C131" s="1" t="s">
        <v>640</v>
      </c>
      <c r="D131" s="1" t="s">
        <v>632</v>
      </c>
      <c r="E131" s="1" t="s">
        <v>628</v>
      </c>
      <c r="F131" s="1" t="str">
        <f t="shared" ref="F131:F194" si="6">"https://www.google.com/search?q="&amp;B131&amp;"+最近公告會期"</f>
        <v>https://www.google.com/search?q=NI (Nutrition International)+最近公告會期</v>
      </c>
      <c r="G131" s="1" t="str">
        <f t="shared" ref="G131:G194" si="7">"https://www.google.com/search?q="&amp;B131&amp;"+最近公告徵稿截止日期"</f>
        <v>https://www.google.com/search?q=NI (Nutrition International)+最近公告徵稿截止日期</v>
      </c>
      <c r="H131" s="1" t="str">
        <f t="shared" ref="H131:H194" si="8">"https://www.google.com/search?q="&amp;SUBSTITUTE(B131," ","+")&amp;"+official+website"</f>
        <v>https://www.google.com/search?q=NI+(Nutrition+International)+official+website</v>
      </c>
      <c r="I131" s="2" t="s">
        <v>93</v>
      </c>
      <c r="J131" s="2" t="s">
        <v>94</v>
      </c>
      <c r="K131" s="2" t="s">
        <v>95</v>
      </c>
      <c r="L131" s="2" t="s">
        <v>8</v>
      </c>
    </row>
    <row r="132" spans="1:12" ht="72" customHeight="1">
      <c r="A132" s="1" t="s">
        <v>385</v>
      </c>
      <c r="B132" s="2" t="s">
        <v>386</v>
      </c>
      <c r="C132" s="1" t="s">
        <v>640</v>
      </c>
      <c r="D132" s="1" t="s">
        <v>632</v>
      </c>
      <c r="E132" s="1" t="s">
        <v>633</v>
      </c>
      <c r="F132" s="1" t="str">
        <f t="shared" si="6"/>
        <v>https://www.google.com/search?q=OPC (Organization for the Prevention of Blindness)+最近公告會期</v>
      </c>
      <c r="G132" s="1" t="str">
        <f t="shared" si="7"/>
        <v>https://www.google.com/search?q=OPC (Organization for the Prevention of Blindness)+最近公告徵稿截止日期</v>
      </c>
      <c r="H132" s="1" t="str">
        <f t="shared" si="8"/>
        <v>https://www.google.com/search?q=OPC+(Organization+for+the+Prevention+of+Blindness)+official+website</v>
      </c>
      <c r="I132" s="2" t="s">
        <v>134</v>
      </c>
      <c r="J132" s="2" t="s">
        <v>135</v>
      </c>
      <c r="K132" s="2" t="s">
        <v>7</v>
      </c>
      <c r="L132" s="2" t="s">
        <v>8</v>
      </c>
    </row>
    <row r="133" spans="1:12" ht="72" customHeight="1">
      <c r="A133" s="1" t="s">
        <v>387</v>
      </c>
      <c r="B133" s="2" t="s">
        <v>388</v>
      </c>
      <c r="C133" s="1" t="s">
        <v>640</v>
      </c>
      <c r="D133" s="1" t="s">
        <v>627</v>
      </c>
      <c r="E133" s="1" t="s">
        <v>629</v>
      </c>
      <c r="F133" s="1" t="str">
        <f t="shared" si="6"/>
        <v>https://www.google.com/search?q=OIA (Osteopathic International Alliance)+最近公告會期</v>
      </c>
      <c r="G133" s="1" t="str">
        <f t="shared" si="7"/>
        <v>https://www.google.com/search?q=OIA (Osteopathic International Alliance)+最近公告徵稿截止日期</v>
      </c>
      <c r="H133" s="1" t="str">
        <f t="shared" si="8"/>
        <v>https://www.google.com/search?q=OIA+(Osteopathic+International+Alliance)+official+website</v>
      </c>
      <c r="I133" s="2" t="s">
        <v>389</v>
      </c>
      <c r="J133" s="2" t="s">
        <v>390</v>
      </c>
      <c r="K133" s="2" t="s">
        <v>7</v>
      </c>
      <c r="L133" s="2" t="s">
        <v>8</v>
      </c>
    </row>
    <row r="134" spans="1:12" ht="72" customHeight="1">
      <c r="A134" s="1" t="s">
        <v>391</v>
      </c>
      <c r="B134" s="2" t="s">
        <v>392</v>
      </c>
      <c r="C134" s="1" t="s">
        <v>655</v>
      </c>
      <c r="D134" s="1" t="s">
        <v>625</v>
      </c>
      <c r="E134" s="1" t="s">
        <v>625</v>
      </c>
      <c r="F134" s="1" t="str">
        <f t="shared" si="6"/>
        <v>https://www.google.com/search?q=Oxfam (Oxfam)+最近公告會期</v>
      </c>
      <c r="G134" s="1" t="str">
        <f t="shared" si="7"/>
        <v>https://www.google.com/search?q=Oxfam (Oxfam)+最近公告徵稿截止日期</v>
      </c>
      <c r="H134" s="1" t="str">
        <f t="shared" si="8"/>
        <v>https://www.google.com/search?q=Oxfam+(Oxfam)+official+website</v>
      </c>
      <c r="I134" s="2" t="s">
        <v>63</v>
      </c>
      <c r="J134" s="2" t="s">
        <v>6</v>
      </c>
      <c r="K134" s="2" t="s">
        <v>7</v>
      </c>
      <c r="L134" s="2" t="s">
        <v>8</v>
      </c>
    </row>
    <row r="135" spans="1:12" ht="72" customHeight="1">
      <c r="A135" s="1" t="s">
        <v>393</v>
      </c>
      <c r="B135" s="2" t="s">
        <v>394</v>
      </c>
      <c r="C135" s="1" t="s">
        <v>640</v>
      </c>
      <c r="D135" s="1" t="s">
        <v>632</v>
      </c>
      <c r="E135" s="1" t="s">
        <v>628</v>
      </c>
      <c r="F135" s="1" t="str">
        <f t="shared" si="6"/>
        <v>https://www.google.com/search?q=PN (Pasteur Network)+最近公告會期</v>
      </c>
      <c r="G135" s="1" t="str">
        <f t="shared" si="7"/>
        <v>https://www.google.com/search?q=PN (Pasteur Network)+最近公告徵稿截止日期</v>
      </c>
      <c r="H135" s="1" t="str">
        <f t="shared" si="8"/>
        <v>https://www.google.com/search?q=PN+(Pasteur+Network)+official+website</v>
      </c>
      <c r="I135" s="2" t="s">
        <v>395</v>
      </c>
      <c r="J135" s="2" t="s">
        <v>205</v>
      </c>
      <c r="K135" s="2" t="s">
        <v>7</v>
      </c>
      <c r="L135" s="2" t="s">
        <v>8</v>
      </c>
    </row>
    <row r="136" spans="1:12" ht="72" customHeight="1">
      <c r="A136" s="1" t="s">
        <v>396</v>
      </c>
      <c r="B136" s="2" t="s">
        <v>397</v>
      </c>
      <c r="C136" s="1" t="s">
        <v>640</v>
      </c>
      <c r="D136" s="1" t="s">
        <v>632</v>
      </c>
      <c r="E136" s="1" t="s">
        <v>633</v>
      </c>
      <c r="F136" s="1" t="str">
        <f t="shared" si="6"/>
        <v>https://www.google.com/search?q=PATH (PATH)+最近公告會期</v>
      </c>
      <c r="G136" s="1" t="str">
        <f t="shared" si="7"/>
        <v>https://www.google.com/search?q=PATH (PATH)+最近公告徵稿截止日期</v>
      </c>
      <c r="H136" s="1" t="str">
        <f t="shared" si="8"/>
        <v>https://www.google.com/search?q=PATH+(PATH)+official+website</v>
      </c>
      <c r="I136" s="2" t="s">
        <v>55</v>
      </c>
      <c r="J136" s="2" t="s">
        <v>56</v>
      </c>
      <c r="K136" s="2" t="s">
        <v>57</v>
      </c>
      <c r="L136" s="2" t="s">
        <v>58</v>
      </c>
    </row>
    <row r="137" spans="1:12" ht="72" customHeight="1">
      <c r="A137" s="1" t="s">
        <v>398</v>
      </c>
      <c r="B137" s="2" t="s">
        <v>399</v>
      </c>
      <c r="C137" s="1" t="s">
        <v>640</v>
      </c>
      <c r="D137" s="1" t="s">
        <v>627</v>
      </c>
      <c r="E137" s="1" t="s">
        <v>629</v>
      </c>
      <c r="F137" s="1" t="str">
        <f t="shared" si="6"/>
        <v>https://www.google.com/search?q=PSI (Public Services International)+最近公告會期</v>
      </c>
      <c r="G137" s="1" t="str">
        <f t="shared" si="7"/>
        <v>https://www.google.com/search?q=PSI (Public Services International)+最近公告徵稿截止日期</v>
      </c>
      <c r="H137" s="1" t="str">
        <f t="shared" si="8"/>
        <v>https://www.google.com/search?q=PSI+(Public+Services+International)+official+website</v>
      </c>
      <c r="I137" s="2" t="s">
        <v>400</v>
      </c>
      <c r="J137" s="2" t="s">
        <v>401</v>
      </c>
      <c r="K137" s="2" t="s">
        <v>7</v>
      </c>
      <c r="L137" s="2" t="s">
        <v>8</v>
      </c>
    </row>
    <row r="138" spans="1:12" ht="72" customHeight="1">
      <c r="A138" s="1" t="s">
        <v>402</v>
      </c>
      <c r="B138" s="2" t="s">
        <v>687</v>
      </c>
      <c r="C138" s="1" t="s">
        <v>655</v>
      </c>
      <c r="D138" s="1" t="s">
        <v>625</v>
      </c>
      <c r="E138" s="1" t="s">
        <v>625</v>
      </c>
      <c r="F138" s="1" t="str">
        <f t="shared" si="6"/>
        <v>https://www.google.com/search?q=RAD-AID (RAD-AID International, Inc.)+最近公告會期</v>
      </c>
      <c r="G138" s="1" t="str">
        <f t="shared" si="7"/>
        <v>https://www.google.com/search?q=RAD-AID (RAD-AID International, Inc.)+最近公告徵稿截止日期</v>
      </c>
      <c r="H138" s="1" t="str">
        <f t="shared" si="8"/>
        <v>https://www.google.com/search?q=RAD-AID+(RAD-AID+International,+Inc.)+official+website</v>
      </c>
      <c r="I138" s="2" t="s">
        <v>99</v>
      </c>
      <c r="J138" s="2" t="s">
        <v>100</v>
      </c>
      <c r="K138" s="2" t="s">
        <v>101</v>
      </c>
      <c r="L138" s="2" t="s">
        <v>8</v>
      </c>
    </row>
    <row r="139" spans="1:12" ht="72" customHeight="1">
      <c r="A139" s="1" t="s">
        <v>403</v>
      </c>
      <c r="B139" s="2" t="s">
        <v>404</v>
      </c>
      <c r="C139" s="1" t="s">
        <v>640</v>
      </c>
      <c r="D139" s="1" t="s">
        <v>632</v>
      </c>
      <c r="E139" s="1" t="s">
        <v>628</v>
      </c>
      <c r="F139" s="1" t="str">
        <f t="shared" si="6"/>
        <v>https://www.google.com/search?q=RDI (Rare Diseases International)+最近公告會期</v>
      </c>
      <c r="G139" s="1" t="str">
        <f t="shared" si="7"/>
        <v>https://www.google.com/search?q=RDI (Rare Diseases International)+最近公告徵稿截止日期</v>
      </c>
      <c r="H139" s="1" t="str">
        <f t="shared" si="8"/>
        <v>https://www.google.com/search?q=RDI+(Rare+Diseases+International)+official+website</v>
      </c>
      <c r="I139" s="2" t="s">
        <v>258</v>
      </c>
      <c r="J139" s="2" t="s">
        <v>139</v>
      </c>
      <c r="K139" s="2" t="s">
        <v>7</v>
      </c>
      <c r="L139" s="2" t="s">
        <v>8</v>
      </c>
    </row>
    <row r="140" spans="1:12" ht="72" customHeight="1">
      <c r="A140" s="1" t="s">
        <v>405</v>
      </c>
      <c r="B140" s="2" t="s">
        <v>688</v>
      </c>
      <c r="C140" s="1" t="s">
        <v>640</v>
      </c>
      <c r="D140" s="1" t="s">
        <v>632</v>
      </c>
      <c r="E140" s="1" t="s">
        <v>633</v>
      </c>
      <c r="F140" s="1" t="str">
        <f t="shared" si="6"/>
        <v>https://www.google.com/search?q=RTSL (Resolve to Save Lives, Inc.)+最近公告會期</v>
      </c>
      <c r="G140" s="1" t="str">
        <f t="shared" si="7"/>
        <v>https://www.google.com/search?q=RTSL (Resolve to Save Lives, Inc.)+最近公告徵稿截止日期</v>
      </c>
      <c r="H140" s="1" t="str">
        <f t="shared" si="8"/>
        <v>https://www.google.com/search?q=RTSL+(Resolve+to+Save+Lives,+Inc.)+official+website</v>
      </c>
      <c r="I140" s="2" t="s">
        <v>17</v>
      </c>
      <c r="J140" s="2" t="s">
        <v>18</v>
      </c>
      <c r="K140" s="2" t="s">
        <v>19</v>
      </c>
      <c r="L140" s="2" t="s">
        <v>20</v>
      </c>
    </row>
    <row r="141" spans="1:12" ht="72" customHeight="1">
      <c r="A141" s="1" t="s">
        <v>406</v>
      </c>
      <c r="B141" s="2" t="s">
        <v>407</v>
      </c>
      <c r="C141" s="1" t="s">
        <v>640</v>
      </c>
      <c r="D141" s="1" t="s">
        <v>627</v>
      </c>
      <c r="E141" s="1" t="s">
        <v>629</v>
      </c>
      <c r="F141" s="1" t="str">
        <f t="shared" si="6"/>
        <v>https://www.google.com/search?q=RI (Rotary International)+最近公告會期</v>
      </c>
      <c r="G141" s="1" t="str">
        <f t="shared" si="7"/>
        <v>https://www.google.com/search?q=RI (Rotary International)+最近公告徵稿截止日期</v>
      </c>
      <c r="H141" s="1" t="str">
        <f t="shared" si="8"/>
        <v>https://www.google.com/search?q=RI+(Rotary+International)+official+website</v>
      </c>
      <c r="I141" s="2" t="s">
        <v>408</v>
      </c>
      <c r="J141" s="2" t="s">
        <v>409</v>
      </c>
      <c r="K141" s="2" t="s">
        <v>7</v>
      </c>
      <c r="L141" s="2" t="s">
        <v>8</v>
      </c>
    </row>
    <row r="142" spans="1:12" ht="72" customHeight="1">
      <c r="A142" s="1" t="s">
        <v>410</v>
      </c>
      <c r="B142" s="2" t="s">
        <v>411</v>
      </c>
      <c r="C142" s="1" t="s">
        <v>640</v>
      </c>
      <c r="D142" s="1" t="s">
        <v>632</v>
      </c>
      <c r="E142" s="1" t="s">
        <v>633</v>
      </c>
      <c r="F142" s="1" t="str">
        <f t="shared" si="6"/>
        <v>https://www.google.com/search?q=GNP+ (Global Network of People HIV/AIDS)+最近公告會期</v>
      </c>
      <c r="G142" s="1" t="str">
        <f t="shared" si="7"/>
        <v>https://www.google.com/search?q=GNP+ (Global Network of People HIV/AIDS)+最近公告徵稿截止日期</v>
      </c>
      <c r="H142" s="1" t="str">
        <f t="shared" si="8"/>
        <v>https://www.google.com/search?q=GNP++(Global+Network+of+People+HIV/AIDS)+official+website</v>
      </c>
      <c r="I142" s="2" t="s">
        <v>412</v>
      </c>
      <c r="J142" s="2" t="s">
        <v>413</v>
      </c>
      <c r="K142" s="2" t="s">
        <v>7</v>
      </c>
      <c r="L142" s="2" t="s">
        <v>8</v>
      </c>
    </row>
    <row r="143" spans="1:12" ht="72" customHeight="1">
      <c r="A143" s="1" t="s">
        <v>414</v>
      </c>
      <c r="B143" s="2" t="s">
        <v>415</v>
      </c>
      <c r="C143" s="1" t="s">
        <v>640</v>
      </c>
      <c r="D143" s="1" t="s">
        <v>627</v>
      </c>
      <c r="E143" s="1" t="s">
        <v>629</v>
      </c>
      <c r="F143" s="1" t="str">
        <f t="shared" si="6"/>
        <v>https://www.google.com/search?q=HAI (Health Action International)+最近公告會期</v>
      </c>
      <c r="G143" s="1" t="str">
        <f t="shared" si="7"/>
        <v>https://www.google.com/search?q=HAI (Health Action International)+最近公告徵稿截止日期</v>
      </c>
      <c r="H143" s="1" t="str">
        <f t="shared" si="8"/>
        <v>https://www.google.com/search?q=HAI+(Health+Action+International)+official+website</v>
      </c>
      <c r="I143" s="2" t="s">
        <v>354</v>
      </c>
      <c r="J143" s="2" t="s">
        <v>355</v>
      </c>
      <c r="K143" s="2" t="s">
        <v>38</v>
      </c>
      <c r="L143" s="2" t="s">
        <v>8</v>
      </c>
    </row>
    <row r="144" spans="1:12" ht="72" customHeight="1">
      <c r="A144" s="1" t="s">
        <v>416</v>
      </c>
      <c r="B144" s="2" t="s">
        <v>417</v>
      </c>
      <c r="C144" s="1" t="s">
        <v>655</v>
      </c>
      <c r="D144" s="1" t="s">
        <v>625</v>
      </c>
      <c r="E144" s="1" t="s">
        <v>625</v>
      </c>
      <c r="F144" s="1" t="str">
        <f t="shared" si="6"/>
        <v>https://www.google.com/search?q=TIF (Thalassaemia International Federation)+最近公告會期</v>
      </c>
      <c r="G144" s="1" t="str">
        <f t="shared" si="7"/>
        <v>https://www.google.com/search?q=TIF (Thalassaemia International Federation)+最近公告徵稿截止日期</v>
      </c>
      <c r="H144" s="1" t="str">
        <f t="shared" si="8"/>
        <v>https://www.google.com/search?q=TIF+(Thalassaemia+International+Federation)+official+website</v>
      </c>
      <c r="I144" s="2" t="s">
        <v>138</v>
      </c>
      <c r="J144" s="2" t="s">
        <v>139</v>
      </c>
      <c r="K144" s="2" t="s">
        <v>7</v>
      </c>
      <c r="L144" s="2" t="s">
        <v>8</v>
      </c>
    </row>
    <row r="145" spans="1:12" ht="72" customHeight="1">
      <c r="A145" s="1" t="s">
        <v>418</v>
      </c>
      <c r="B145" s="2" t="s">
        <v>419</v>
      </c>
      <c r="C145" s="1" t="s">
        <v>638</v>
      </c>
      <c r="D145" s="1" t="s">
        <v>632</v>
      </c>
      <c r="E145" s="1" t="s">
        <v>628</v>
      </c>
      <c r="F145" s="1" t="str">
        <f t="shared" si="6"/>
        <v>https://www.google.com/search?q=Sabin Vaccine Institute (Sabin Vaccine Institute)+最近公告會期</v>
      </c>
      <c r="G145" s="1" t="str">
        <f t="shared" si="7"/>
        <v>https://www.google.com/search?q=Sabin Vaccine Institute (Sabin Vaccine Institute)+最近公告徵稿截止日期</v>
      </c>
      <c r="H145" s="1" t="str">
        <f t="shared" si="8"/>
        <v>https://www.google.com/search?q=Sabin+Vaccine+Institute+(Sabin+Vaccine+Institute)+official+website</v>
      </c>
      <c r="I145" s="2" t="s">
        <v>420</v>
      </c>
      <c r="J145" s="2" t="s">
        <v>421</v>
      </c>
      <c r="K145" s="2" t="s">
        <v>38</v>
      </c>
      <c r="L145" s="2" t="s">
        <v>8</v>
      </c>
    </row>
    <row r="146" spans="1:12" ht="72" customHeight="1">
      <c r="A146" s="1" t="s">
        <v>422</v>
      </c>
      <c r="B146" s="2" t="s">
        <v>423</v>
      </c>
      <c r="C146" s="1" t="s">
        <v>640</v>
      </c>
      <c r="D146" s="1" t="s">
        <v>632</v>
      </c>
      <c r="E146" s="1" t="s">
        <v>633</v>
      </c>
      <c r="F146" s="1" t="str">
        <f t="shared" si="6"/>
        <v>https://www.google.com/search?q=Bloomberg Philanthropies (Bloomberg Foundation)+最近公告會期</v>
      </c>
      <c r="G146" s="1" t="str">
        <f t="shared" si="7"/>
        <v>https://www.google.com/search?q=Bloomberg Philanthropies (Bloomberg Foundation)+最近公告徵稿截止日期</v>
      </c>
      <c r="H146" s="1" t="str">
        <f t="shared" si="8"/>
        <v>https://www.google.com/search?q=Bloomberg+Philanthropies+(Bloomberg+Foundation)+official+website</v>
      </c>
      <c r="I146" s="2" t="s">
        <v>424</v>
      </c>
      <c r="J146" s="2" t="s">
        <v>425</v>
      </c>
      <c r="K146" s="2" t="s">
        <v>7</v>
      </c>
      <c r="L146" s="2" t="s">
        <v>8</v>
      </c>
    </row>
    <row r="147" spans="1:12" ht="72" customHeight="1">
      <c r="A147" s="1" t="s">
        <v>426</v>
      </c>
      <c r="B147" s="2" t="s">
        <v>689</v>
      </c>
      <c r="C147" s="1" t="s">
        <v>640</v>
      </c>
      <c r="D147" s="1" t="s">
        <v>627</v>
      </c>
      <c r="E147" s="1" t="s">
        <v>629</v>
      </c>
      <c r="F147" s="1" t="str">
        <f t="shared" si="6"/>
        <v>https://www.google.com/search?q=The Carter Center (The Carter Center, Inc.)+最近公告會期</v>
      </c>
      <c r="G147" s="1" t="str">
        <f t="shared" si="7"/>
        <v>https://www.google.com/search?q=The Carter Center (The Carter Center, Inc.)+最近公告徵稿截止日期</v>
      </c>
      <c r="H147" s="1" t="str">
        <f t="shared" si="8"/>
        <v>https://www.google.com/search?q=The+Carter+Center+(The+Carter+Center,+Inc.)+official+website</v>
      </c>
      <c r="I147" s="2" t="s">
        <v>43</v>
      </c>
      <c r="J147" s="2" t="s">
        <v>6</v>
      </c>
      <c r="K147" s="2" t="s">
        <v>7</v>
      </c>
      <c r="L147" s="2" t="s">
        <v>8</v>
      </c>
    </row>
    <row r="148" spans="1:12" ht="72" customHeight="1">
      <c r="A148" s="1" t="s">
        <v>427</v>
      </c>
      <c r="B148" s="2" t="s">
        <v>428</v>
      </c>
      <c r="C148" s="1" t="s">
        <v>655</v>
      </c>
      <c r="D148" s="1" t="s">
        <v>625</v>
      </c>
      <c r="E148" s="1" t="s">
        <v>625</v>
      </c>
      <c r="F148" s="1" t="str">
        <f t="shared" si="6"/>
        <v>https://www.google.com/search?q=The Center for Reproductive Rights (CRR)+最近公告會期</v>
      </c>
      <c r="G148" s="1" t="str">
        <f t="shared" si="7"/>
        <v>https://www.google.com/search?q=The Center for Reproductive Rights (CRR)+最近公告徵稿截止日期</v>
      </c>
      <c r="H148" s="1" t="str">
        <f t="shared" si="8"/>
        <v>https://www.google.com/search?q=The+Center+for+Reproductive+Rights+(CRR)+official+website</v>
      </c>
      <c r="I148" s="2" t="s">
        <v>429</v>
      </c>
      <c r="J148" s="2" t="s">
        <v>430</v>
      </c>
      <c r="K148" s="2" t="s">
        <v>7</v>
      </c>
      <c r="L148" s="2" t="s">
        <v>8</v>
      </c>
    </row>
    <row r="149" spans="1:12" ht="72" customHeight="1">
      <c r="A149" s="1" t="s">
        <v>431</v>
      </c>
      <c r="B149" s="2" t="s">
        <v>432</v>
      </c>
      <c r="C149" s="1" t="s">
        <v>640</v>
      </c>
      <c r="D149" s="1" t="s">
        <v>632</v>
      </c>
      <c r="E149" s="1" t="s">
        <v>628</v>
      </c>
      <c r="F149" s="1" t="str">
        <f t="shared" si="6"/>
        <v>https://www.google.com/search?q=Cochrane (The Cochrane Collaboration)+最近公告會期</v>
      </c>
      <c r="G149" s="1" t="str">
        <f t="shared" si="7"/>
        <v>https://www.google.com/search?q=Cochrane (The Cochrane Collaboration)+最近公告徵稿截止日期</v>
      </c>
      <c r="H149" s="1" t="str">
        <f t="shared" si="8"/>
        <v>https://www.google.com/search?q=Cochrane+(The+Cochrane+Collaboration)+official+website</v>
      </c>
      <c r="I149" s="2" t="s">
        <v>55</v>
      </c>
      <c r="J149" s="2" t="s">
        <v>56</v>
      </c>
      <c r="K149" s="2" t="s">
        <v>57</v>
      </c>
      <c r="L149" s="2" t="s">
        <v>58</v>
      </c>
    </row>
    <row r="150" spans="1:12" ht="72" customHeight="1">
      <c r="A150" s="1" t="s">
        <v>433</v>
      </c>
      <c r="B150" s="2" t="s">
        <v>434</v>
      </c>
      <c r="C150" s="1" t="s">
        <v>640</v>
      </c>
      <c r="D150" s="1" t="s">
        <v>627</v>
      </c>
      <c r="E150" s="1" t="s">
        <v>629</v>
      </c>
      <c r="F150" s="1" t="str">
        <f t="shared" si="6"/>
        <v>https://www.google.com/search?q=CPA (Commonwealth Pharmacists Association)+最近公告會期</v>
      </c>
      <c r="G150" s="1" t="str">
        <f t="shared" si="7"/>
        <v>https://www.google.com/search?q=CPA (Commonwealth Pharmacists Association)+最近公告徵稿截止日期</v>
      </c>
      <c r="H150" s="1" t="str">
        <f t="shared" si="8"/>
        <v>https://www.google.com/search?q=CPA+(Commonwealth+Pharmacists+Association)+official+website</v>
      </c>
      <c r="I150" s="2" t="s">
        <v>36</v>
      </c>
      <c r="J150" s="2" t="s">
        <v>37</v>
      </c>
      <c r="K150" s="2" t="s">
        <v>38</v>
      </c>
      <c r="L150" s="2" t="s">
        <v>8</v>
      </c>
    </row>
    <row r="151" spans="1:12" ht="72" customHeight="1">
      <c r="A151" s="1" t="s">
        <v>435</v>
      </c>
      <c r="B151" s="2" t="s">
        <v>436</v>
      </c>
      <c r="C151" s="1" t="s">
        <v>640</v>
      </c>
      <c r="D151" s="1" t="s">
        <v>632</v>
      </c>
      <c r="E151" s="1" t="s">
        <v>633</v>
      </c>
      <c r="F151" s="1" t="str">
        <f t="shared" si="6"/>
        <v>https://www.google.com/search?q=FHF (The Fred Hollows Foundation)+最近公告會期</v>
      </c>
      <c r="G151" s="1" t="str">
        <f t="shared" si="7"/>
        <v>https://www.google.com/search?q=FHF (The Fred Hollows Foundation)+最近公告徵稿截止日期</v>
      </c>
      <c r="H151" s="1" t="str">
        <f t="shared" si="8"/>
        <v>https://www.google.com/search?q=FHF+(The+Fred+Hollows+Foundation)+official+website</v>
      </c>
      <c r="I151" s="2" t="s">
        <v>437</v>
      </c>
      <c r="J151" s="2" t="s">
        <v>135</v>
      </c>
      <c r="K151" s="2" t="s">
        <v>7</v>
      </c>
      <c r="L151" s="2" t="s">
        <v>8</v>
      </c>
    </row>
    <row r="152" spans="1:12" ht="72" customHeight="1">
      <c r="A152" s="1" t="s">
        <v>438</v>
      </c>
      <c r="B152" s="2" t="s">
        <v>439</v>
      </c>
      <c r="C152" s="1" t="s">
        <v>655</v>
      </c>
      <c r="D152" s="1" t="s">
        <v>625</v>
      </c>
      <c r="E152" s="1" t="s">
        <v>625</v>
      </c>
      <c r="F152" s="1" t="str">
        <f t="shared" si="6"/>
        <v>https://www.google.com/search?q=GARC (Global Alliance for Rabies Control)+最近公告會期</v>
      </c>
      <c r="G152" s="1" t="str">
        <f t="shared" si="7"/>
        <v>https://www.google.com/search?q=GARC (Global Alliance for Rabies Control)+最近公告徵稿截止日期</v>
      </c>
      <c r="H152" s="1" t="str">
        <f t="shared" si="8"/>
        <v>https://www.google.com/search?q=GARC+(Global+Alliance+for+Rabies+Control)+official+website</v>
      </c>
      <c r="I152" s="2" t="s">
        <v>75</v>
      </c>
      <c r="J152" s="2" t="s">
        <v>56</v>
      </c>
      <c r="K152" s="2" t="s">
        <v>7</v>
      </c>
      <c r="L152" s="2" t="s">
        <v>58</v>
      </c>
    </row>
    <row r="153" spans="1:12" ht="72" customHeight="1">
      <c r="A153" s="1" t="s">
        <v>440</v>
      </c>
      <c r="B153" s="2" t="s">
        <v>676</v>
      </c>
      <c r="C153" s="1" t="s">
        <v>640</v>
      </c>
      <c r="D153" s="1" t="s">
        <v>632</v>
      </c>
      <c r="E153" s="1" t="s">
        <v>628</v>
      </c>
      <c r="F153" s="1" t="str">
        <f t="shared" si="6"/>
        <v>https://www.google.com/search?q=LCI (The International Association of Lions Clubs)+最近公告會期</v>
      </c>
      <c r="G153" s="1" t="str">
        <f t="shared" si="7"/>
        <v>https://www.google.com/search?q=LCI (The International Association of Lions Clubs)+最近公告徵稿截止日期</v>
      </c>
      <c r="H153" s="1" t="str">
        <f t="shared" si="8"/>
        <v>https://www.google.com/search?q=LCI+(The+International+Association+of+Lions+Clubs)+official+website</v>
      </c>
      <c r="I153" s="2" t="s">
        <v>441</v>
      </c>
      <c r="J153" s="2" t="s">
        <v>409</v>
      </c>
      <c r="K153" s="2" t="s">
        <v>7</v>
      </c>
      <c r="L153" s="2" t="s">
        <v>8</v>
      </c>
    </row>
    <row r="154" spans="1:12" ht="72" customHeight="1">
      <c r="A154" s="1" t="s">
        <v>442</v>
      </c>
      <c r="B154" s="2" t="s">
        <v>709</v>
      </c>
      <c r="C154" s="1" t="s">
        <v>640</v>
      </c>
      <c r="D154" s="1" t="s">
        <v>632</v>
      </c>
      <c r="E154" s="1" t="s">
        <v>633</v>
      </c>
      <c r="F154" s="1" t="str">
        <f t="shared" si="6"/>
        <v>https://www.google.com/search?q=ILEP (International Federation Anti-Leprosy AsSociety of)+最近公告會期</v>
      </c>
      <c r="G154" s="1" t="str">
        <f t="shared" si="7"/>
        <v>https://www.google.com/search?q=ILEP (International Federation Anti-Leprosy AsSociety of)+最近公告徵稿截止日期</v>
      </c>
      <c r="H154" s="1" t="str">
        <f t="shared" si="8"/>
        <v>https://www.google.com/search?q=ILEP+(International+Federation+Anti-Leprosy+AsSociety+of)+official+website</v>
      </c>
      <c r="I154" s="2" t="s">
        <v>443</v>
      </c>
      <c r="J154" s="2" t="s">
        <v>444</v>
      </c>
      <c r="K154" s="2" t="s">
        <v>7</v>
      </c>
      <c r="L154" s="2" t="s">
        <v>8</v>
      </c>
    </row>
    <row r="155" spans="1:12" ht="72" customHeight="1">
      <c r="A155" s="1" t="s">
        <v>445</v>
      </c>
      <c r="B155" s="2" t="s">
        <v>677</v>
      </c>
      <c r="C155" s="1" t="s">
        <v>640</v>
      </c>
      <c r="D155" s="1" t="s">
        <v>627</v>
      </c>
      <c r="E155" s="1" t="s">
        <v>629</v>
      </c>
      <c r="F155" s="1" t="str">
        <f t="shared" si="6"/>
        <v>https://www.google.com/search?q=IFFS (International Federation of Fertility Societies)+最近公告會期</v>
      </c>
      <c r="G155" s="1" t="str">
        <f t="shared" si="7"/>
        <v>https://www.google.com/search?q=IFFS (International Federation of Fertility Societies)+最近公告徵稿截止日期</v>
      </c>
      <c r="H155" s="1" t="str">
        <f t="shared" si="8"/>
        <v>https://www.google.com/search?q=IFFS+(International+Federation+of+Fertility+Societies)+official+website</v>
      </c>
      <c r="I155" s="2" t="s">
        <v>446</v>
      </c>
      <c r="J155" s="2" t="s">
        <v>194</v>
      </c>
      <c r="K155" s="2" t="s">
        <v>7</v>
      </c>
      <c r="L155" s="2" t="s">
        <v>8</v>
      </c>
    </row>
    <row r="156" spans="1:12" ht="72" customHeight="1">
      <c r="A156" s="1" t="s">
        <v>447</v>
      </c>
      <c r="B156" s="2" t="s">
        <v>678</v>
      </c>
      <c r="C156" s="1" t="s">
        <v>655</v>
      </c>
      <c r="D156" s="1" t="s">
        <v>625</v>
      </c>
      <c r="E156" s="1" t="s">
        <v>625</v>
      </c>
      <c r="F156" s="1" t="str">
        <f t="shared" si="6"/>
        <v>https://www.google.com/search?q=ILDS (International League of Dermatological Societies)+最近公告會期</v>
      </c>
      <c r="G156" s="1" t="str">
        <f t="shared" si="7"/>
        <v>https://www.google.com/search?q=ILDS (International League of Dermatological Societies)+最近公告徵稿截止日期</v>
      </c>
      <c r="H156" s="1" t="str">
        <f t="shared" si="8"/>
        <v>https://www.google.com/search?q=ILDS+(International+League+of+Dermatological+Societies)+official+website</v>
      </c>
      <c r="I156" s="2" t="s">
        <v>448</v>
      </c>
      <c r="J156" s="2" t="s">
        <v>449</v>
      </c>
      <c r="K156" s="2" t="s">
        <v>7</v>
      </c>
      <c r="L156" s="2" t="s">
        <v>8</v>
      </c>
    </row>
    <row r="157" spans="1:12" ht="72" customHeight="1">
      <c r="A157" s="1" t="s">
        <v>450</v>
      </c>
      <c r="B157" s="2" t="s">
        <v>451</v>
      </c>
      <c r="C157" s="1" t="s">
        <v>640</v>
      </c>
      <c r="D157" s="1" t="s">
        <v>632</v>
      </c>
      <c r="E157" s="1" t="s">
        <v>628</v>
      </c>
      <c r="F157" s="1" t="str">
        <f t="shared" si="6"/>
        <v>https://www.google.com/search?q=ILA (The International Leprosy Association)+最近公告會期</v>
      </c>
      <c r="G157" s="1" t="str">
        <f t="shared" si="7"/>
        <v>https://www.google.com/search?q=ILA (The International Leprosy Association)+最近公告徵稿截止日期</v>
      </c>
      <c r="H157" s="1" t="str">
        <f t="shared" si="8"/>
        <v>https://www.google.com/search?q=ILA+(The+International+Leprosy+Association)+official+website</v>
      </c>
      <c r="I157" s="2" t="s">
        <v>452</v>
      </c>
      <c r="J157" s="2" t="s">
        <v>444</v>
      </c>
      <c r="K157" s="2" t="s">
        <v>7</v>
      </c>
      <c r="L157" s="2" t="s">
        <v>8</v>
      </c>
    </row>
    <row r="158" spans="1:12" ht="72" customHeight="1">
      <c r="A158" s="1" t="s">
        <v>453</v>
      </c>
      <c r="B158" s="2" t="s">
        <v>679</v>
      </c>
      <c r="C158" s="1" t="s">
        <v>640</v>
      </c>
      <c r="D158" s="1" t="s">
        <v>632</v>
      </c>
      <c r="E158" s="1" t="s">
        <v>633</v>
      </c>
      <c r="F158" s="1" t="str">
        <f t="shared" si="6"/>
        <v>https://www.google.com/search?q=ISBI (International Society for Burn Injuries)+最近公告會期</v>
      </c>
      <c r="G158" s="1" t="str">
        <f t="shared" si="7"/>
        <v>https://www.google.com/search?q=ISBI (International Society for Burn Injuries)+最近公告徵稿截止日期</v>
      </c>
      <c r="H158" s="1" t="str">
        <f t="shared" si="8"/>
        <v>https://www.google.com/search?q=ISBI+(International+Society+for+Burn+Injuries)+official+website</v>
      </c>
      <c r="I158" s="2" t="s">
        <v>454</v>
      </c>
      <c r="J158" s="2" t="s">
        <v>455</v>
      </c>
      <c r="K158" s="2" t="s">
        <v>7</v>
      </c>
      <c r="L158" s="2" t="s">
        <v>8</v>
      </c>
    </row>
    <row r="159" spans="1:12" ht="72" customHeight="1">
      <c r="A159" s="1" t="s">
        <v>456</v>
      </c>
      <c r="B159" s="2" t="s">
        <v>746</v>
      </c>
      <c r="C159" s="1" t="s">
        <v>640</v>
      </c>
      <c r="D159" s="1" t="s">
        <v>627</v>
      </c>
      <c r="E159" s="1" t="s">
        <v>629</v>
      </c>
      <c r="F159" s="1" t="str">
        <f t="shared" si="6"/>
        <v>https://www.google.com/search?q=ISPO (International Society Prosthetics and Orthotics)+最近公告會期</v>
      </c>
      <c r="G159" s="1" t="str">
        <f t="shared" si="7"/>
        <v>https://www.google.com/search?q=ISPO (International Society Prosthetics and Orthotics)+最近公告徵稿截止日期</v>
      </c>
      <c r="H159" s="1" t="str">
        <f t="shared" si="8"/>
        <v>https://www.google.com/search?q=ISPO+(International+Society+Prosthetics+and+Orthotics)+official+website</v>
      </c>
      <c r="I159" s="2" t="s">
        <v>457</v>
      </c>
      <c r="J159" s="2" t="s">
        <v>458</v>
      </c>
      <c r="K159" s="2" t="s">
        <v>7</v>
      </c>
      <c r="L159" s="2" t="s">
        <v>8</v>
      </c>
    </row>
    <row r="160" spans="1:12" ht="72" customHeight="1">
      <c r="A160" s="1" t="s">
        <v>459</v>
      </c>
      <c r="B160" s="2" t="s">
        <v>680</v>
      </c>
      <c r="C160" s="1" t="s">
        <v>655</v>
      </c>
      <c r="D160" s="1" t="s">
        <v>625</v>
      </c>
      <c r="E160" s="1" t="s">
        <v>625</v>
      </c>
      <c r="F160" s="1" t="str">
        <f t="shared" si="6"/>
        <v>https://www.google.com/search?q=ISQua (International Society for Quality in Health Care)+最近公告會期</v>
      </c>
      <c r="G160" s="1" t="str">
        <f t="shared" si="7"/>
        <v>https://www.google.com/search?q=ISQua (International Society for Quality in Health Care)+最近公告徵稿截止日期</v>
      </c>
      <c r="H160" s="1" t="str">
        <f t="shared" si="8"/>
        <v>https://www.google.com/search?q=ISQua+(International+Society+for+Quality+in+Health+Care)+official+website</v>
      </c>
      <c r="I160" s="2" t="s">
        <v>55</v>
      </c>
      <c r="J160" s="2" t="s">
        <v>56</v>
      </c>
      <c r="K160" s="2" t="s">
        <v>57</v>
      </c>
      <c r="L160" s="2" t="s">
        <v>58</v>
      </c>
    </row>
    <row r="161" spans="1:12" ht="72" customHeight="1">
      <c r="A161" s="1" t="s">
        <v>460</v>
      </c>
      <c r="B161" s="2" t="s">
        <v>710</v>
      </c>
      <c r="C161" s="1" t="s">
        <v>640</v>
      </c>
      <c r="D161" s="1" t="s">
        <v>632</v>
      </c>
      <c r="E161" s="1" t="s">
        <v>628</v>
      </c>
      <c r="F161" s="1" t="str">
        <f t="shared" si="6"/>
        <v>https://www.google.com/search?q=ISPCAN (International Society of Prevention Child Abuse)+最近公告會期</v>
      </c>
      <c r="G161" s="1" t="str">
        <f t="shared" si="7"/>
        <v>https://www.google.com/search?q=ISPCAN (International Society of Prevention Child Abuse)+最近公告徵稿截止日期</v>
      </c>
      <c r="H161" s="1" t="str">
        <f t="shared" si="8"/>
        <v>https://www.google.com/search?q=ISPCAN+(International+Society+of+Prevention+Child+Abuse)+official+website</v>
      </c>
      <c r="I161" s="2" t="s">
        <v>461</v>
      </c>
      <c r="J161" s="2" t="s">
        <v>462</v>
      </c>
      <c r="K161" s="2" t="s">
        <v>7</v>
      </c>
      <c r="L161" s="2" t="s">
        <v>8</v>
      </c>
    </row>
    <row r="162" spans="1:12" ht="72" customHeight="1">
      <c r="A162" s="1" t="s">
        <v>463</v>
      </c>
      <c r="B162" s="2" t="s">
        <v>681</v>
      </c>
      <c r="C162" s="1" t="s">
        <v>640</v>
      </c>
      <c r="D162" s="1" t="s">
        <v>632</v>
      </c>
      <c r="E162" s="1" t="s">
        <v>633</v>
      </c>
      <c r="F162" s="1" t="str">
        <f t="shared" si="6"/>
        <v>https://www.google.com/search?q=ISBT (International Society of Blood Transfusion)+最近公告會期</v>
      </c>
      <c r="G162" s="1" t="str">
        <f t="shared" si="7"/>
        <v>https://www.google.com/search?q=ISBT (International Society of Blood Transfusion)+最近公告徵稿截止日期</v>
      </c>
      <c r="H162" s="1" t="str">
        <f t="shared" si="8"/>
        <v>https://www.google.com/search?q=ISBT+(International+Society+of+Blood+Transfusion)+official+website</v>
      </c>
      <c r="I162" s="2" t="s">
        <v>464</v>
      </c>
      <c r="J162" s="2" t="s">
        <v>323</v>
      </c>
      <c r="K162" s="2" t="s">
        <v>7</v>
      </c>
      <c r="L162" s="2" t="s">
        <v>8</v>
      </c>
    </row>
    <row r="163" spans="1:12" ht="72" customHeight="1">
      <c r="A163" s="1" t="s">
        <v>465</v>
      </c>
      <c r="B163" s="2" t="s">
        <v>682</v>
      </c>
      <c r="C163" s="1" t="s">
        <v>640</v>
      </c>
      <c r="D163" s="1" t="s">
        <v>627</v>
      </c>
      <c r="E163" s="1" t="s">
        <v>629</v>
      </c>
      <c r="F163" s="1" t="str">
        <f t="shared" si="6"/>
        <v>https://www.google.com/search?q=SIOP (International Society of Paediatric Oncology)+最近公告會期</v>
      </c>
      <c r="G163" s="1" t="str">
        <f t="shared" si="7"/>
        <v>https://www.google.com/search?q=SIOP (International Society of Paediatric Oncology)+最近公告徵稿截止日期</v>
      </c>
      <c r="H163" s="1" t="str">
        <f t="shared" si="8"/>
        <v>https://www.google.com/search?q=SIOP+(International+Society+of+Paediatric+Oncology)+official+website</v>
      </c>
      <c r="I163" s="2" t="s">
        <v>50</v>
      </c>
      <c r="J163" s="2" t="s">
        <v>51</v>
      </c>
      <c r="K163" s="2" t="s">
        <v>7</v>
      </c>
      <c r="L163" s="2" t="s">
        <v>52</v>
      </c>
    </row>
    <row r="164" spans="1:12" ht="72" customHeight="1">
      <c r="A164" s="1" t="s">
        <v>466</v>
      </c>
      <c r="B164" s="2" t="s">
        <v>711</v>
      </c>
      <c r="C164" s="1" t="s">
        <v>655</v>
      </c>
      <c r="D164" s="1" t="s">
        <v>625</v>
      </c>
      <c r="E164" s="1" t="s">
        <v>625</v>
      </c>
      <c r="F164" s="1" t="str">
        <f t="shared" si="6"/>
        <v>https://www.google.com/search?q=ISRRT (International Society of Radiographers/Radiological Tech)+最近公告會期</v>
      </c>
      <c r="G164" s="1" t="str">
        <f t="shared" si="7"/>
        <v>https://www.google.com/search?q=ISRRT (International Society of Radiographers/Radiological Tech)+最近公告徵稿截止日期</v>
      </c>
      <c r="H164" s="1" t="str">
        <f t="shared" si="8"/>
        <v>https://www.google.com/search?q=ISRRT+(International+Society+of+Radiographers/Radiological+Tech)+official+website</v>
      </c>
      <c r="I164" s="2" t="s">
        <v>467</v>
      </c>
      <c r="J164" s="2" t="s">
        <v>191</v>
      </c>
      <c r="K164" s="2" t="s">
        <v>101</v>
      </c>
      <c r="L164" s="2" t="s">
        <v>8</v>
      </c>
    </row>
    <row r="165" spans="1:12" ht="72" customHeight="1">
      <c r="A165" s="1" t="s">
        <v>468</v>
      </c>
      <c r="B165" s="2" t="s">
        <v>469</v>
      </c>
      <c r="C165" s="1" t="s">
        <v>640</v>
      </c>
      <c r="D165" s="1" t="s">
        <v>632</v>
      </c>
      <c r="E165" s="1" t="s">
        <v>628</v>
      </c>
      <c r="F165" s="1" t="str">
        <f t="shared" si="6"/>
        <v>https://www.google.com/search?q=TUFH (The Network Towards Unity For Health)+最近公告會期</v>
      </c>
      <c r="G165" s="1" t="str">
        <f t="shared" si="7"/>
        <v>https://www.google.com/search?q=TUFH (The Network Towards Unity For Health)+最近公告徵稿截止日期</v>
      </c>
      <c r="H165" s="1" t="str">
        <f t="shared" si="8"/>
        <v>https://www.google.com/search?q=TUFH+(The+Network+Towards+Unity+For+Health)+official+website</v>
      </c>
      <c r="I165" s="2" t="s">
        <v>75</v>
      </c>
      <c r="J165" s="2" t="s">
        <v>56</v>
      </c>
      <c r="K165" s="2" t="s">
        <v>7</v>
      </c>
      <c r="L165" s="2" t="s">
        <v>58</v>
      </c>
    </row>
    <row r="166" spans="1:12" ht="72" customHeight="1">
      <c r="A166" s="1" t="s">
        <v>470</v>
      </c>
      <c r="B166" s="2" t="s">
        <v>690</v>
      </c>
      <c r="C166" s="1" t="s">
        <v>640</v>
      </c>
      <c r="D166" s="1" t="s">
        <v>632</v>
      </c>
      <c r="E166" s="1" t="s">
        <v>633</v>
      </c>
      <c r="F166" s="1" t="str">
        <f t="shared" si="6"/>
        <v>https://www.google.com/search?q=PopCouncil (The Population Council, Inc.)+最近公告會期</v>
      </c>
      <c r="G166" s="1" t="str">
        <f t="shared" si="7"/>
        <v>https://www.google.com/search?q=PopCouncil (The Population Council, Inc.)+最近公告徵稿截止日期</v>
      </c>
      <c r="H166" s="1" t="str">
        <f t="shared" si="8"/>
        <v>https://www.google.com/search?q=PopCouncil+(The+Population+Council,+Inc.)+official+website</v>
      </c>
      <c r="I166" s="2" t="s">
        <v>471</v>
      </c>
      <c r="J166" s="2" t="s">
        <v>287</v>
      </c>
      <c r="K166" s="2" t="s">
        <v>7</v>
      </c>
      <c r="L166" s="2" t="s">
        <v>8</v>
      </c>
    </row>
    <row r="167" spans="1:12" ht="72" customHeight="1">
      <c r="A167" s="1" t="s">
        <v>472</v>
      </c>
      <c r="B167" s="2" t="s">
        <v>473</v>
      </c>
      <c r="C167" s="1" t="s">
        <v>640</v>
      </c>
      <c r="D167" s="1" t="s">
        <v>627</v>
      </c>
      <c r="E167" s="1" t="s">
        <v>629</v>
      </c>
      <c r="F167" s="1" t="str">
        <f t="shared" si="6"/>
        <v>https://www.google.com/search?q=Rockefeller (The Rockefeller Foundation)+最近公告會期</v>
      </c>
      <c r="G167" s="1" t="str">
        <f t="shared" si="7"/>
        <v>https://www.google.com/search?q=Rockefeller (The Rockefeller Foundation)+最近公告徵稿截止日期</v>
      </c>
      <c r="H167" s="1" t="str">
        <f t="shared" si="8"/>
        <v>https://www.google.com/search?q=Rockefeller+(The+Rockefeller+Foundation)+official+website</v>
      </c>
      <c r="I167" s="2" t="s">
        <v>474</v>
      </c>
      <c r="J167" s="2" t="s">
        <v>425</v>
      </c>
      <c r="K167" s="2" t="s">
        <v>7</v>
      </c>
      <c r="L167" s="2" t="s">
        <v>8</v>
      </c>
    </row>
    <row r="168" spans="1:12" ht="72" customHeight="1">
      <c r="A168" s="1" t="s">
        <v>475</v>
      </c>
      <c r="B168" s="2" t="s">
        <v>476</v>
      </c>
      <c r="C168" s="1" t="s">
        <v>655</v>
      </c>
      <c r="D168" s="1" t="s">
        <v>625</v>
      </c>
      <c r="E168" s="1" t="s">
        <v>625</v>
      </c>
      <c r="F168" s="1" t="str">
        <f t="shared" si="6"/>
        <v>https://www.google.com/search?q=Sightsavers (Royal Commonwealth Society Blind)+最近公告會期</v>
      </c>
      <c r="G168" s="1" t="str">
        <f t="shared" si="7"/>
        <v>https://www.google.com/search?q=Sightsavers (Royal Commonwealth Society Blind)+最近公告徵稿截止日期</v>
      </c>
      <c r="H168" s="1" t="str">
        <f t="shared" si="8"/>
        <v>https://www.google.com/search?q=Sightsavers+(Royal+Commonwealth+Society+Blind)+official+website</v>
      </c>
      <c r="I168" s="2" t="s">
        <v>477</v>
      </c>
      <c r="J168" s="2" t="s">
        <v>47</v>
      </c>
      <c r="K168" s="2" t="s">
        <v>7</v>
      </c>
      <c r="L168" s="2" t="s">
        <v>8</v>
      </c>
    </row>
    <row r="169" spans="1:12" ht="72" customHeight="1">
      <c r="A169" s="1" t="s">
        <v>478</v>
      </c>
      <c r="B169" s="2" t="s">
        <v>479</v>
      </c>
      <c r="C169" s="1" t="s">
        <v>640</v>
      </c>
      <c r="D169" s="1" t="s">
        <v>632</v>
      </c>
      <c r="E169" s="1" t="s">
        <v>628</v>
      </c>
      <c r="F169" s="1" t="str">
        <f t="shared" si="6"/>
        <v>https://www.google.com/search?q=RNLI (Royal National Lifeboat Institution)+最近公告會期</v>
      </c>
      <c r="G169" s="1" t="str">
        <f t="shared" si="7"/>
        <v>https://www.google.com/search?q=RNLI (Royal National Lifeboat Institution)+最近公告徵稿截止日期</v>
      </c>
      <c r="H169" s="1" t="str">
        <f t="shared" si="8"/>
        <v>https://www.google.com/search?q=RNLI+(Royal+National+Lifeboat+Institution)+official+website</v>
      </c>
      <c r="I169" s="2" t="s">
        <v>75</v>
      </c>
      <c r="J169" s="2" t="s">
        <v>56</v>
      </c>
      <c r="K169" s="2" t="s">
        <v>7</v>
      </c>
      <c r="L169" s="2" t="s">
        <v>58</v>
      </c>
    </row>
    <row r="170" spans="1:12" ht="72" customHeight="1">
      <c r="A170" s="1" t="s">
        <v>480</v>
      </c>
      <c r="B170" s="2" t="s">
        <v>481</v>
      </c>
      <c r="C170" s="1" t="s">
        <v>640</v>
      </c>
      <c r="D170" s="1" t="s">
        <v>632</v>
      </c>
      <c r="E170" s="1" t="s">
        <v>633</v>
      </c>
      <c r="F170" s="1" t="str">
        <f t="shared" si="6"/>
        <v>https://www.google.com/search?q=SCF (The Save the Children Fund)+最近公告會期</v>
      </c>
      <c r="G170" s="1" t="str">
        <f t="shared" si="7"/>
        <v>https://www.google.com/search?q=SCF (The Save the Children Fund)+最近公告徵稿截止日期</v>
      </c>
      <c r="H170" s="1" t="str">
        <f t="shared" si="8"/>
        <v>https://www.google.com/search?q=SCF+(The+Save+the+Children+Fund)+official+website</v>
      </c>
      <c r="I170" s="2" t="s">
        <v>482</v>
      </c>
      <c r="J170" s="2" t="s">
        <v>462</v>
      </c>
      <c r="K170" s="2" t="s">
        <v>7</v>
      </c>
      <c r="L170" s="2" t="s">
        <v>8</v>
      </c>
    </row>
    <row r="171" spans="1:12" ht="72" customHeight="1">
      <c r="A171" s="1" t="s">
        <v>483</v>
      </c>
      <c r="B171" s="2" t="s">
        <v>691</v>
      </c>
      <c r="C171" s="1" t="s">
        <v>640</v>
      </c>
      <c r="D171" s="1" t="s">
        <v>627</v>
      </c>
      <c r="E171" s="1" t="s">
        <v>629</v>
      </c>
      <c r="F171" s="1" t="str">
        <f t="shared" si="6"/>
        <v>https://www.google.com/search?q=TFGH (The Task Force for Global Health, Inc.)+最近公告會期</v>
      </c>
      <c r="G171" s="1" t="str">
        <f t="shared" si="7"/>
        <v>https://www.google.com/search?q=TFGH (The Task Force for Global Health, Inc.)+最近公告徵稿截止日期</v>
      </c>
      <c r="H171" s="1" t="str">
        <f t="shared" si="8"/>
        <v>https://www.google.com/search?q=TFGH+(The+Task+Force+for+Global+Health,+Inc.)+official+website</v>
      </c>
      <c r="I171" s="2" t="s">
        <v>265</v>
      </c>
      <c r="J171" s="2" t="s">
        <v>56</v>
      </c>
      <c r="K171" s="2" t="s">
        <v>7</v>
      </c>
      <c r="L171" s="2" t="s">
        <v>58</v>
      </c>
    </row>
    <row r="172" spans="1:12" ht="72" customHeight="1">
      <c r="A172" s="1" t="s">
        <v>484</v>
      </c>
      <c r="B172" s="2" t="s">
        <v>485</v>
      </c>
      <c r="C172" s="1" t="s">
        <v>640</v>
      </c>
      <c r="D172" s="1" t="s">
        <v>632</v>
      </c>
      <c r="E172" s="1" t="s">
        <v>633</v>
      </c>
      <c r="F172" s="1" t="str">
        <f t="shared" si="6"/>
        <v>https://www.google.com/search?q=TTS (The Transplantation Society)+最近公告會期</v>
      </c>
      <c r="G172" s="1" t="str">
        <f t="shared" si="7"/>
        <v>https://www.google.com/search?q=TTS (The Transplantation Society)+最近公告徵稿截止日期</v>
      </c>
      <c r="H172" s="1" t="str">
        <f t="shared" si="8"/>
        <v>https://www.google.com/search?q=TTS+(The+Transplantation+Society)+official+website</v>
      </c>
      <c r="I172" s="2" t="s">
        <v>486</v>
      </c>
      <c r="J172" s="2" t="s">
        <v>487</v>
      </c>
      <c r="K172" s="2" t="s">
        <v>7</v>
      </c>
      <c r="L172" s="2" t="s">
        <v>8</v>
      </c>
    </row>
    <row r="173" spans="1:12" ht="72" customHeight="1">
      <c r="A173" s="1" t="s">
        <v>488</v>
      </c>
      <c r="B173" s="2" t="s">
        <v>489</v>
      </c>
      <c r="C173" s="1" t="s">
        <v>640</v>
      </c>
      <c r="D173" s="1" t="s">
        <v>627</v>
      </c>
      <c r="E173" s="1" t="s">
        <v>629</v>
      </c>
      <c r="F173" s="1" t="str">
        <f t="shared" si="6"/>
        <v>https://www.google.com/search?q=WHPCA (Worldwide Hospice Palliative Care)+最近公告會期</v>
      </c>
      <c r="G173" s="1" t="str">
        <f t="shared" si="7"/>
        <v>https://www.google.com/search?q=WHPCA (Worldwide Hospice Palliative Care)+最近公告徵稿截止日期</v>
      </c>
      <c r="H173" s="1" t="str">
        <f t="shared" si="8"/>
        <v>https://www.google.com/search?q=WHPCA+(Worldwide+Hospice+Palliative+Care)+official+website</v>
      </c>
      <c r="I173" s="2" t="s">
        <v>490</v>
      </c>
      <c r="J173" s="2" t="s">
        <v>491</v>
      </c>
      <c r="K173" s="2" t="s">
        <v>7</v>
      </c>
      <c r="L173" s="2" t="s">
        <v>8</v>
      </c>
    </row>
    <row r="174" spans="1:12" ht="72" customHeight="1">
      <c r="A174" s="1" t="s">
        <v>492</v>
      </c>
      <c r="B174" s="2" t="s">
        <v>493</v>
      </c>
      <c r="C174" s="1" t="s">
        <v>655</v>
      </c>
      <c r="D174" s="1" t="s">
        <v>625</v>
      </c>
      <c r="E174" s="1" t="s">
        <v>625</v>
      </c>
      <c r="F174" s="1" t="str">
        <f t="shared" si="6"/>
        <v>https://www.google.com/search?q=UICC (Union for International Cancer Control)+最近公告會期</v>
      </c>
      <c r="G174" s="1" t="str">
        <f t="shared" si="7"/>
        <v>https://www.google.com/search?q=UICC (Union for International Cancer Control)+最近公告徵稿截止日期</v>
      </c>
      <c r="H174" s="1" t="str">
        <f t="shared" si="8"/>
        <v>https://www.google.com/search?q=UICC+(Union+for+International+Cancer+Control)+official+website</v>
      </c>
      <c r="I174" s="2" t="s">
        <v>494</v>
      </c>
      <c r="J174" s="2" t="s">
        <v>51</v>
      </c>
      <c r="K174" s="2" t="s">
        <v>7</v>
      </c>
      <c r="L174" s="2" t="s">
        <v>52</v>
      </c>
    </row>
    <row r="175" spans="1:12" ht="72" customHeight="1">
      <c r="A175" s="1" t="s">
        <v>495</v>
      </c>
      <c r="B175" s="2" t="s">
        <v>692</v>
      </c>
      <c r="C175" s="1" t="s">
        <v>638</v>
      </c>
      <c r="D175" s="1" t="s">
        <v>632</v>
      </c>
      <c r="E175" s="1" t="s">
        <v>628</v>
      </c>
      <c r="F175" s="1" t="str">
        <f t="shared" si="6"/>
        <v>https://www.google.com/search?q=UNF (United Nations Foundation Inc.)+最近公告會期</v>
      </c>
      <c r="G175" s="1" t="str">
        <f t="shared" si="7"/>
        <v>https://www.google.com/search?q=UNF (United Nations Foundation Inc.)+最近公告徵稿截止日期</v>
      </c>
      <c r="H175" s="1" t="str">
        <f t="shared" si="8"/>
        <v>https://www.google.com/search?q=UNF+(United+Nations+Foundation+Inc.)+official+website</v>
      </c>
      <c r="I175" s="2" t="s">
        <v>496</v>
      </c>
      <c r="J175" s="2" t="s">
        <v>425</v>
      </c>
      <c r="K175" s="2" t="s">
        <v>7</v>
      </c>
      <c r="L175" s="2" t="s">
        <v>8</v>
      </c>
    </row>
    <row r="176" spans="1:12" ht="72" customHeight="1">
      <c r="A176" s="1" t="s">
        <v>497</v>
      </c>
      <c r="B176" s="2" t="s">
        <v>498</v>
      </c>
      <c r="C176" s="1" t="s">
        <v>640</v>
      </c>
      <c r="D176" s="1" t="s">
        <v>632</v>
      </c>
      <c r="E176" s="1" t="s">
        <v>633</v>
      </c>
      <c r="F176" s="1" t="str">
        <f t="shared" si="6"/>
        <v>https://www.google.com/search?q=USP (United States Pharmacopeial Convention)+最近公告會期</v>
      </c>
      <c r="G176" s="1" t="str">
        <f t="shared" si="7"/>
        <v>https://www.google.com/search?q=USP (United States Pharmacopeial Convention)+最近公告徵稿截止日期</v>
      </c>
      <c r="H176" s="1" t="str">
        <f t="shared" si="8"/>
        <v>https://www.google.com/search?q=USP+(United+States+Pharmacopeial+Convention)+official+website</v>
      </c>
      <c r="I176" s="2" t="s">
        <v>499</v>
      </c>
      <c r="J176" s="2" t="s">
        <v>37</v>
      </c>
      <c r="K176" s="2" t="s">
        <v>38</v>
      </c>
      <c r="L176" s="2" t="s">
        <v>8</v>
      </c>
    </row>
    <row r="177" spans="1:12" ht="72" customHeight="1">
      <c r="A177" s="1" t="s">
        <v>500</v>
      </c>
      <c r="B177" s="2" t="s">
        <v>693</v>
      </c>
      <c r="C177" s="1" t="s">
        <v>640</v>
      </c>
      <c r="D177" s="1" t="s">
        <v>627</v>
      </c>
      <c r="E177" s="1" t="s">
        <v>629</v>
      </c>
      <c r="F177" s="1" t="str">
        <f t="shared" si="6"/>
        <v>https://www.google.com/search?q=Vital Strategies (Vital Strategies, Inc.)+最近公告會期</v>
      </c>
      <c r="G177" s="1" t="str">
        <f t="shared" si="7"/>
        <v>https://www.google.com/search?q=Vital Strategies (Vital Strategies, Inc.)+最近公告徵稿截止日期</v>
      </c>
      <c r="H177" s="1" t="str">
        <f t="shared" si="8"/>
        <v>https://www.google.com/search?q=Vital+Strategies+(Vital+Strategies,+Inc.)+official+website</v>
      </c>
      <c r="I177" s="2" t="s">
        <v>283</v>
      </c>
      <c r="J177" s="2" t="s">
        <v>56</v>
      </c>
      <c r="K177" s="2" t="s">
        <v>7</v>
      </c>
      <c r="L177" s="2" t="s">
        <v>58</v>
      </c>
    </row>
    <row r="178" spans="1:12" ht="72" customHeight="1">
      <c r="A178" s="1" t="s">
        <v>501</v>
      </c>
      <c r="B178" s="2" t="s">
        <v>502</v>
      </c>
      <c r="C178" s="1" t="s">
        <v>655</v>
      </c>
      <c r="D178" s="1" t="s">
        <v>625</v>
      </c>
      <c r="E178" s="1" t="s">
        <v>625</v>
      </c>
      <c r="F178" s="1" t="str">
        <f t="shared" si="6"/>
        <v>https://www.google.com/search?q=WAi (WaterAid international)+最近公告會期</v>
      </c>
      <c r="G178" s="1" t="str">
        <f t="shared" si="7"/>
        <v>https://www.google.com/search?q=WAi (WaterAid international)+最近公告徵稿截止日期</v>
      </c>
      <c r="H178" s="1" t="str">
        <f t="shared" si="8"/>
        <v>https://www.google.com/search?q=WAi+(WaterAid+international)+official+website</v>
      </c>
      <c r="I178" s="2" t="s">
        <v>309</v>
      </c>
      <c r="J178" s="2" t="s">
        <v>69</v>
      </c>
      <c r="K178" s="2" t="s">
        <v>7</v>
      </c>
      <c r="L178" s="2" t="s">
        <v>8</v>
      </c>
    </row>
    <row r="179" spans="1:12" ht="72" customHeight="1">
      <c r="A179" s="1" t="s">
        <v>503</v>
      </c>
      <c r="B179" s="2" t="s">
        <v>504</v>
      </c>
      <c r="C179" s="1" t="s">
        <v>640</v>
      </c>
      <c r="D179" s="1" t="s">
        <v>632</v>
      </c>
      <c r="E179" s="1" t="s">
        <v>628</v>
      </c>
      <c r="F179" s="1" t="str">
        <f t="shared" si="6"/>
        <v>https://www.google.com/search?q=Wellcome Trust (Wellcome Trust)+最近公告會期</v>
      </c>
      <c r="G179" s="1" t="str">
        <f t="shared" si="7"/>
        <v>https://www.google.com/search?q=Wellcome Trust (Wellcome Trust)+最近公告徵稿截止日期</v>
      </c>
      <c r="H179" s="1" t="str">
        <f t="shared" si="8"/>
        <v>https://www.google.com/search?q=Wellcome+Trust+(Wellcome+Trust)+official+website</v>
      </c>
      <c r="I179" s="2" t="s">
        <v>505</v>
      </c>
      <c r="J179" s="2" t="s">
        <v>425</v>
      </c>
      <c r="K179" s="2" t="s">
        <v>7</v>
      </c>
      <c r="L179" s="2" t="s">
        <v>8</v>
      </c>
    </row>
    <row r="180" spans="1:12" ht="72" customHeight="1">
      <c r="A180" s="1" t="s">
        <v>506</v>
      </c>
      <c r="B180" s="2" t="s">
        <v>694</v>
      </c>
      <c r="C180" s="1" t="s">
        <v>640</v>
      </c>
      <c r="D180" s="1" t="s">
        <v>627</v>
      </c>
      <c r="E180" s="1" t="s">
        <v>629</v>
      </c>
      <c r="F180" s="1" t="str">
        <f t="shared" si="6"/>
        <v>https://www.google.com/search?q=WD (Women Deliver, Inc.)+最近公告會期</v>
      </c>
      <c r="G180" s="1" t="str">
        <f t="shared" si="7"/>
        <v>https://www.google.com/search?q=WD (Women Deliver, Inc.)+最近公告徵稿截止日期</v>
      </c>
      <c r="H180" s="1" t="str">
        <f t="shared" si="8"/>
        <v>https://www.google.com/search?q=WD+(Women+Deliver,+Inc.)+official+website</v>
      </c>
      <c r="I180" s="2" t="s">
        <v>507</v>
      </c>
      <c r="J180" s="2" t="s">
        <v>430</v>
      </c>
      <c r="K180" s="2" t="s">
        <v>7</v>
      </c>
      <c r="L180" s="2" t="s">
        <v>8</v>
      </c>
    </row>
    <row r="181" spans="1:12" ht="72" customHeight="1">
      <c r="A181" s="1" t="s">
        <v>508</v>
      </c>
      <c r="B181" s="2" t="s">
        <v>695</v>
      </c>
      <c r="C181" s="1" t="s">
        <v>640</v>
      </c>
      <c r="D181" s="1" t="s">
        <v>632</v>
      </c>
      <c r="E181" s="1" t="s">
        <v>633</v>
      </c>
      <c r="F181" s="1" t="str">
        <f t="shared" si="6"/>
        <v>https://www.google.com/search?q=WGH (Women in Global Health, Inc.)+最近公告會期</v>
      </c>
      <c r="G181" s="1" t="str">
        <f t="shared" si="7"/>
        <v>https://www.google.com/search?q=WGH (Women in Global Health, Inc.)+最近公告徵稿截止日期</v>
      </c>
      <c r="H181" s="1" t="str">
        <f t="shared" si="8"/>
        <v>https://www.google.com/search?q=WGH+(Women+in+Global+Health,+Inc.)+official+website</v>
      </c>
      <c r="I181" s="2" t="s">
        <v>283</v>
      </c>
      <c r="J181" s="2" t="s">
        <v>56</v>
      </c>
      <c r="K181" s="2" t="s">
        <v>7</v>
      </c>
      <c r="L181" s="2" t="s">
        <v>58</v>
      </c>
    </row>
    <row r="182" spans="1:12" ht="72" customHeight="1">
      <c r="A182" s="1" t="s">
        <v>509</v>
      </c>
      <c r="B182" s="2" t="s">
        <v>510</v>
      </c>
      <c r="C182" s="1" t="s">
        <v>655</v>
      </c>
      <c r="D182" s="1" t="s">
        <v>625</v>
      </c>
      <c r="E182" s="1" t="s">
        <v>625</v>
      </c>
      <c r="F182" s="1" t="str">
        <f t="shared" si="6"/>
        <v>https://www.google.com/search?q=WONCA (WONCA Association)+最近公告會期</v>
      </c>
      <c r="G182" s="1" t="str">
        <f t="shared" si="7"/>
        <v>https://www.google.com/search?q=WONCA (WONCA Association)+最近公告徵稿截止日期</v>
      </c>
      <c r="H182" s="1" t="str">
        <f t="shared" si="8"/>
        <v>https://www.google.com/search?q=WONCA+(WONCA+Association)+official+website</v>
      </c>
      <c r="I182" s="2" t="s">
        <v>511</v>
      </c>
      <c r="J182" s="2" t="s">
        <v>512</v>
      </c>
      <c r="K182" s="2" t="s">
        <v>7</v>
      </c>
      <c r="L182" s="2" t="s">
        <v>8</v>
      </c>
    </row>
    <row r="183" spans="1:12" ht="72" customHeight="1">
      <c r="A183" s="1" t="s">
        <v>513</v>
      </c>
      <c r="B183" s="2" t="s">
        <v>514</v>
      </c>
      <c r="C183" s="1" t="s">
        <v>640</v>
      </c>
      <c r="D183" s="1" t="s">
        <v>632</v>
      </c>
      <c r="E183" s="1" t="s">
        <v>628</v>
      </c>
      <c r="F183" s="1" t="str">
        <f t="shared" si="6"/>
        <v>https://www.google.com/search?q=WAS (World Association for Sexual Health)+最近公告會期</v>
      </c>
      <c r="G183" s="1" t="str">
        <f t="shared" si="7"/>
        <v>https://www.google.com/search?q=WAS (World Association for Sexual Health)+最近公告徵稿截止日期</v>
      </c>
      <c r="H183" s="1" t="str">
        <f t="shared" si="8"/>
        <v>https://www.google.com/search?q=WAS+(World+Association+for+Sexual+Health)+official+website</v>
      </c>
      <c r="I183" s="2" t="s">
        <v>515</v>
      </c>
      <c r="J183" s="2" t="s">
        <v>516</v>
      </c>
      <c r="K183" s="2" t="s">
        <v>7</v>
      </c>
      <c r="L183" s="2" t="s">
        <v>8</v>
      </c>
    </row>
    <row r="184" spans="1:12" ht="72" customHeight="1">
      <c r="A184" s="1" t="s">
        <v>517</v>
      </c>
      <c r="B184" s="2" t="s">
        <v>518</v>
      </c>
      <c r="C184" s="1" t="s">
        <v>640</v>
      </c>
      <c r="D184" s="1" t="s">
        <v>632</v>
      </c>
      <c r="E184" s="1" t="s">
        <v>633</v>
      </c>
      <c r="F184" s="1" t="str">
        <f t="shared" si="6"/>
        <v>https://www.google.com/search?q=WAE (World Association of Echinococcosis)+最近公告會期</v>
      </c>
      <c r="G184" s="1" t="str">
        <f t="shared" si="7"/>
        <v>https://www.google.com/search?q=WAE (World Association of Echinococcosis)+最近公告徵稿截止日期</v>
      </c>
      <c r="H184" s="1" t="str">
        <f t="shared" si="8"/>
        <v>https://www.google.com/search?q=WAE+(World+Association+of+Echinococcosis)+official+website</v>
      </c>
      <c r="I184" s="2" t="s">
        <v>258</v>
      </c>
      <c r="J184" s="2" t="s">
        <v>139</v>
      </c>
      <c r="K184" s="2" t="s">
        <v>7</v>
      </c>
      <c r="L184" s="2" t="s">
        <v>8</v>
      </c>
    </row>
    <row r="185" spans="1:12" ht="72" customHeight="1">
      <c r="A185" s="1" t="s">
        <v>519</v>
      </c>
      <c r="B185" s="2" t="s">
        <v>712</v>
      </c>
      <c r="C185" s="1" t="s">
        <v>640</v>
      </c>
      <c r="D185" s="1" t="s">
        <v>627</v>
      </c>
      <c r="E185" s="1" t="s">
        <v>629</v>
      </c>
      <c r="F185" s="1" t="str">
        <f t="shared" si="6"/>
        <v>https://www.google.com/search?q=WASPaLM (World AsSociety of Societies of Pathology)+最近公告會期</v>
      </c>
      <c r="G185" s="1" t="str">
        <f t="shared" si="7"/>
        <v>https://www.google.com/search?q=WASPaLM (World AsSociety of Societies of Pathology)+最近公告徵稿截止日期</v>
      </c>
      <c r="H185" s="1" t="str">
        <f t="shared" si="8"/>
        <v>https://www.google.com/search?q=WASPaLM+(World+AsSociety+of+Societies+of+Pathology)+official+website</v>
      </c>
      <c r="I185" s="2" t="s">
        <v>520</v>
      </c>
      <c r="J185" s="2" t="s">
        <v>41</v>
      </c>
      <c r="K185" s="2" t="s">
        <v>225</v>
      </c>
      <c r="L185" s="2" t="s">
        <v>8</v>
      </c>
    </row>
    <row r="186" spans="1:12" ht="72" customHeight="1">
      <c r="A186" s="1" t="s">
        <v>521</v>
      </c>
      <c r="B186" s="2" t="s">
        <v>522</v>
      </c>
      <c r="C186" s="1" t="s">
        <v>655</v>
      </c>
      <c r="D186" s="1" t="s">
        <v>696</v>
      </c>
      <c r="E186" s="1" t="s">
        <v>625</v>
      </c>
      <c r="F186" s="1" t="str">
        <f t="shared" si="6"/>
        <v>https://www.google.com/search?q=WBU (World Blind Union)+最近公告會期</v>
      </c>
      <c r="G186" s="1" t="str">
        <f t="shared" si="7"/>
        <v>https://www.google.com/search?q=WBU (World Blind Union)+最近公告徵稿截止日期</v>
      </c>
      <c r="H186" s="1" t="str">
        <f t="shared" si="8"/>
        <v>https://www.google.com/search?q=WBU+(World+Blind+Union)+official+website</v>
      </c>
      <c r="I186" s="2" t="s">
        <v>523</v>
      </c>
      <c r="J186" s="2" t="s">
        <v>47</v>
      </c>
      <c r="K186" s="2" t="s">
        <v>7</v>
      </c>
      <c r="L186" s="2" t="s">
        <v>8</v>
      </c>
    </row>
    <row r="187" spans="1:12" ht="72" customHeight="1">
      <c r="A187" s="1" t="s">
        <v>524</v>
      </c>
      <c r="B187" s="2" t="s">
        <v>683</v>
      </c>
      <c r="C187" s="1" t="s">
        <v>640</v>
      </c>
      <c r="D187" s="1" t="s">
        <v>632</v>
      </c>
      <c r="E187" s="1" t="s">
        <v>628</v>
      </c>
      <c r="F187" s="1" t="str">
        <f t="shared" si="6"/>
        <v>https://www.google.com/search?q=WCRF (World Cancer Research Fund International)+最近公告會期</v>
      </c>
      <c r="G187" s="1" t="str">
        <f t="shared" si="7"/>
        <v>https://www.google.com/search?q=WCRF (World Cancer Research Fund International)+最近公告徵稿截止日期</v>
      </c>
      <c r="H187" s="1" t="str">
        <f t="shared" si="8"/>
        <v>https://www.google.com/search?q=WCRF+(World+Cancer+Research+Fund+International)+official+website</v>
      </c>
      <c r="I187" s="2" t="s">
        <v>525</v>
      </c>
      <c r="J187" s="2" t="s">
        <v>51</v>
      </c>
      <c r="K187" s="2" t="s">
        <v>95</v>
      </c>
      <c r="L187" s="2" t="s">
        <v>52</v>
      </c>
    </row>
    <row r="188" spans="1:12" ht="72" customHeight="1">
      <c r="A188" s="1" t="s">
        <v>526</v>
      </c>
      <c r="B188" s="2" t="s">
        <v>527</v>
      </c>
      <c r="C188" s="1" t="s">
        <v>640</v>
      </c>
      <c r="D188" s="1" t="s">
        <v>632</v>
      </c>
      <c r="E188" s="1" t="s">
        <v>633</v>
      </c>
      <c r="F188" s="1" t="str">
        <f t="shared" si="6"/>
        <v>https://www.google.com/search?q=WCPT (World Confederation Physical Therapy)+最近公告會期</v>
      </c>
      <c r="G188" s="1" t="str">
        <f t="shared" si="7"/>
        <v>https://www.google.com/search?q=WCPT (World Confederation Physical Therapy)+最近公告徵稿截止日期</v>
      </c>
      <c r="H188" s="1" t="str">
        <f t="shared" si="8"/>
        <v>https://www.google.com/search?q=WCPT+(World+Confederation+Physical+Therapy)+official+website</v>
      </c>
      <c r="I188" s="2" t="s">
        <v>528</v>
      </c>
      <c r="J188" s="2" t="s">
        <v>529</v>
      </c>
      <c r="K188" s="2" t="s">
        <v>530</v>
      </c>
      <c r="L188" s="2" t="s">
        <v>8</v>
      </c>
    </row>
    <row r="189" spans="1:12" ht="72" customHeight="1">
      <c r="A189" s="1" t="s">
        <v>531</v>
      </c>
      <c r="B189" s="2" t="s">
        <v>532</v>
      </c>
      <c r="C189" s="1" t="s">
        <v>640</v>
      </c>
      <c r="D189" s="1" t="s">
        <v>627</v>
      </c>
      <c r="E189" s="1" t="s">
        <v>629</v>
      </c>
      <c r="F189" s="1" t="str">
        <f t="shared" si="6"/>
        <v>https://www.google.com/search?q=WCC (World Council of Churches)+最近公告會期</v>
      </c>
      <c r="G189" s="1" t="str">
        <f t="shared" si="7"/>
        <v>https://www.google.com/search?q=WCC (World Council of Churches)+最近公告徵稿截止日期</v>
      </c>
      <c r="H189" s="1" t="str">
        <f t="shared" si="8"/>
        <v>https://www.google.com/search?q=WCC+(World+Council+of+Churches)+official+website</v>
      </c>
      <c r="I189" s="2" t="s">
        <v>533</v>
      </c>
      <c r="J189" s="2" t="s">
        <v>401</v>
      </c>
      <c r="K189" s="2" t="s">
        <v>7</v>
      </c>
      <c r="L189" s="2" t="s">
        <v>8</v>
      </c>
    </row>
    <row r="190" spans="1:12" ht="72" customHeight="1">
      <c r="A190" s="1" t="s">
        <v>534</v>
      </c>
      <c r="B190" s="2" t="s">
        <v>535</v>
      </c>
      <c r="C190" s="1" t="s">
        <v>655</v>
      </c>
      <c r="D190" s="1" t="s">
        <v>625</v>
      </c>
      <c r="E190" s="1" t="s">
        <v>625</v>
      </c>
      <c r="F190" s="1" t="str">
        <f t="shared" si="6"/>
        <v>https://www.google.com/search?q=WCO (World Council of Optometry)+最近公告會期</v>
      </c>
      <c r="G190" s="1" t="str">
        <f t="shared" si="7"/>
        <v>https://www.google.com/search?q=WCO (World Council of Optometry)+最近公告徵稿截止日期</v>
      </c>
      <c r="H190" s="1" t="str">
        <f t="shared" si="8"/>
        <v>https://www.google.com/search?q=WCO+(World+Council+of+Optometry)+official+website</v>
      </c>
      <c r="I190" s="2" t="s">
        <v>437</v>
      </c>
      <c r="J190" s="2" t="s">
        <v>135</v>
      </c>
      <c r="K190" s="2" t="s">
        <v>7</v>
      </c>
      <c r="L190" s="2" t="s">
        <v>8</v>
      </c>
    </row>
    <row r="191" spans="1:12" ht="72" customHeight="1">
      <c r="A191" s="1" t="s">
        <v>536</v>
      </c>
      <c r="B191" s="2" t="s">
        <v>719</v>
      </c>
      <c r="C191" s="1" t="s">
        <v>640</v>
      </c>
      <c r="D191" s="1" t="s">
        <v>632</v>
      </c>
      <c r="E191" s="1" t="s">
        <v>628</v>
      </c>
      <c r="F191" s="1" t="str">
        <f t="shared" si="6"/>
        <v>https://www.google.com/search?q=WFME (World Federation of for Medical Education)+最近公告會期</v>
      </c>
      <c r="G191" s="1" t="str">
        <f t="shared" si="7"/>
        <v>https://www.google.com/search?q=WFME (World Federation of for Medical Education)+最近公告徵稿截止日期</v>
      </c>
      <c r="H191" s="1" t="str">
        <f t="shared" si="8"/>
        <v>https://www.google.com/search?q=WFME+(World+Federation+of+for+Medical+Education)+official+website</v>
      </c>
      <c r="I191" s="2" t="s">
        <v>234</v>
      </c>
      <c r="J191" s="2" t="s">
        <v>235</v>
      </c>
      <c r="K191" s="2" t="s">
        <v>236</v>
      </c>
      <c r="L191" s="2" t="s">
        <v>237</v>
      </c>
    </row>
    <row r="192" spans="1:12" ht="72" customHeight="1">
      <c r="A192" s="1" t="s">
        <v>537</v>
      </c>
      <c r="B192" s="2" t="s">
        <v>538</v>
      </c>
      <c r="C192" s="1" t="s">
        <v>640</v>
      </c>
      <c r="D192" s="1" t="s">
        <v>632</v>
      </c>
      <c r="E192" s="1" t="s">
        <v>633</v>
      </c>
      <c r="F192" s="1" t="str">
        <f t="shared" si="6"/>
        <v>https://www.google.com/search?q=WFMH (World Federation for Mental Health)+最近公告會期</v>
      </c>
      <c r="G192" s="1" t="str">
        <f t="shared" si="7"/>
        <v>https://www.google.com/search?q=WFMH (World Federation for Mental Health)+最近公告徵稿截止日期</v>
      </c>
      <c r="H192" s="1" t="str">
        <f t="shared" si="8"/>
        <v>https://www.google.com/search?q=WFMH+(World+Federation+for+Mental+Health)+official+website</v>
      </c>
      <c r="I192" s="2" t="s">
        <v>539</v>
      </c>
      <c r="J192" s="2" t="s">
        <v>158</v>
      </c>
      <c r="K192" s="2" t="s">
        <v>7</v>
      </c>
      <c r="L192" s="2" t="s">
        <v>8</v>
      </c>
    </row>
    <row r="193" spans="1:12" ht="72" customHeight="1">
      <c r="A193" s="1" t="s">
        <v>540</v>
      </c>
      <c r="B193" s="2" t="s">
        <v>747</v>
      </c>
      <c r="C193" s="1" t="s">
        <v>640</v>
      </c>
      <c r="D193" s="1" t="s">
        <v>627</v>
      </c>
      <c r="E193" s="1" t="s">
        <v>629</v>
      </c>
      <c r="F193" s="1" t="str">
        <f t="shared" si="6"/>
        <v>https://www.google.com/search?q=WFUMB (World Federation of Ultrasound Med and Biology)+最近公告會期</v>
      </c>
      <c r="G193" s="1" t="str">
        <f t="shared" si="7"/>
        <v>https://www.google.com/search?q=WFUMB (World Federation of Ultrasound Med and Biology)+最近公告徵稿截止日期</v>
      </c>
      <c r="H193" s="1" t="str">
        <f t="shared" si="8"/>
        <v>https://www.google.com/search?q=WFUMB+(World+Federation+of+Ultrasound+Med+and+Biology)+official+website</v>
      </c>
      <c r="I193" s="2" t="s">
        <v>541</v>
      </c>
      <c r="J193" s="2" t="s">
        <v>542</v>
      </c>
      <c r="K193" s="2" t="s">
        <v>101</v>
      </c>
      <c r="L193" s="2" t="s">
        <v>8</v>
      </c>
    </row>
    <row r="194" spans="1:12" ht="72" customHeight="1">
      <c r="A194" s="1" t="s">
        <v>543</v>
      </c>
      <c r="B194" s="2" t="s">
        <v>720</v>
      </c>
      <c r="C194" s="1" t="s">
        <v>655</v>
      </c>
      <c r="D194" s="1" t="s">
        <v>625</v>
      </c>
      <c r="E194" s="1" t="s">
        <v>625</v>
      </c>
      <c r="F194" s="1" t="str">
        <f t="shared" si="6"/>
        <v>https://www.google.com/search?q=WFAS (World Federation of Acupuncture Societies)+最近公告會期</v>
      </c>
      <c r="G194" s="1" t="str">
        <f t="shared" si="7"/>
        <v>https://www.google.com/search?q=WFAS (World Federation of Acupuncture Societies)+最近公告徵稿截止日期</v>
      </c>
      <c r="H194" s="1" t="str">
        <f t="shared" si="8"/>
        <v>https://www.google.com/search?q=WFAS+(World+Federation+of+Acupuncture+Societies)+official+website</v>
      </c>
      <c r="I194" s="2" t="s">
        <v>544</v>
      </c>
      <c r="J194" s="2" t="s">
        <v>545</v>
      </c>
      <c r="K194" s="2" t="s">
        <v>546</v>
      </c>
      <c r="L194" s="2" t="s">
        <v>8</v>
      </c>
    </row>
    <row r="195" spans="1:12" ht="72" customHeight="1">
      <c r="A195" s="1" t="s">
        <v>547</v>
      </c>
      <c r="B195" s="2" t="s">
        <v>721</v>
      </c>
      <c r="C195" s="1" t="s">
        <v>640</v>
      </c>
      <c r="D195" s="1" t="s">
        <v>632</v>
      </c>
      <c r="E195" s="1" t="s">
        <v>628</v>
      </c>
      <c r="F195" s="1" t="str">
        <f t="shared" ref="F195:F224" si="9">"https://www.google.com/search?q="&amp;B195&amp;"+最近公告會期"</f>
        <v>https://www.google.com/search?q=WFCMS (World Federation of Chinese Medicine Societies)+最近公告會期</v>
      </c>
      <c r="G195" s="1" t="str">
        <f t="shared" ref="G195:G224" si="10">"https://www.google.com/search?q="&amp;B195&amp;"+最近公告徵稿截止日期"</f>
        <v>https://www.google.com/search?q=WFCMS (World Federation of Chinese Medicine Societies)+最近公告徵稿截止日期</v>
      </c>
      <c r="H195" s="1" t="str">
        <f t="shared" ref="H195:H224" si="11">"https://www.google.com/search?q="&amp;SUBSTITUTE(B195," ","+")&amp;"+official+website"</f>
        <v>https://www.google.com/search?q=WFCMS+(World+Federation+of+Chinese+Medicine+Societies)+official+website</v>
      </c>
      <c r="I195" s="2" t="s">
        <v>544</v>
      </c>
      <c r="J195" s="2" t="s">
        <v>545</v>
      </c>
      <c r="K195" s="2" t="s">
        <v>546</v>
      </c>
      <c r="L195" s="2" t="s">
        <v>8</v>
      </c>
    </row>
    <row r="196" spans="1:12" ht="72" customHeight="1">
      <c r="A196" s="1" t="s">
        <v>548</v>
      </c>
      <c r="B196" s="2" t="s">
        <v>549</v>
      </c>
      <c r="C196" s="1" t="s">
        <v>640</v>
      </c>
      <c r="D196" s="1" t="s">
        <v>632</v>
      </c>
      <c r="E196" s="1" t="s">
        <v>633</v>
      </c>
      <c r="F196" s="1" t="str">
        <f t="shared" si="9"/>
        <v>https://www.google.com/search?q=WFC (World Federation of Chiropractic)+最近公告會期</v>
      </c>
      <c r="G196" s="1" t="str">
        <f t="shared" si="10"/>
        <v>https://www.google.com/search?q=WFC (World Federation of Chiropractic)+最近公告徵稿截止日期</v>
      </c>
      <c r="H196" s="1" t="str">
        <f t="shared" si="11"/>
        <v>https://www.google.com/search?q=WFC+(World+Federation+of+Chiropractic)+official+website</v>
      </c>
      <c r="I196" s="2" t="s">
        <v>550</v>
      </c>
      <c r="J196" s="2" t="s">
        <v>551</v>
      </c>
      <c r="K196" s="2" t="s">
        <v>7</v>
      </c>
      <c r="L196" s="2" t="s">
        <v>8</v>
      </c>
    </row>
    <row r="197" spans="1:12" ht="72" customHeight="1">
      <c r="A197" s="1" t="s">
        <v>552</v>
      </c>
      <c r="B197" s="2" t="s">
        <v>553</v>
      </c>
      <c r="C197" s="1" t="s">
        <v>640</v>
      </c>
      <c r="D197" s="1" t="s">
        <v>627</v>
      </c>
      <c r="E197" s="1" t="s">
        <v>629</v>
      </c>
      <c r="F197" s="1" t="str">
        <f t="shared" si="9"/>
        <v>https://www.google.com/search?q=WFH (World Federation of Hemophilia)+最近公告會期</v>
      </c>
      <c r="G197" s="1" t="str">
        <f t="shared" si="10"/>
        <v>https://www.google.com/search?q=WFH (World Federation of Hemophilia)+最近公告徵稿截止日期</v>
      </c>
      <c r="H197" s="1" t="str">
        <f t="shared" si="11"/>
        <v>https://www.google.com/search?q=WFH+(World+Federation+of+Hemophilia)+official+website</v>
      </c>
      <c r="I197" s="2" t="s">
        <v>352</v>
      </c>
      <c r="J197" s="2" t="s">
        <v>139</v>
      </c>
      <c r="K197" s="2" t="s">
        <v>7</v>
      </c>
      <c r="L197" s="2" t="s">
        <v>8</v>
      </c>
    </row>
    <row r="198" spans="1:12" ht="72" customHeight="1">
      <c r="A198" s="1" t="s">
        <v>554</v>
      </c>
      <c r="B198" s="2" t="s">
        <v>722</v>
      </c>
      <c r="C198" s="1" t="s">
        <v>655</v>
      </c>
      <c r="D198" s="1" t="s">
        <v>625</v>
      </c>
      <c r="E198" s="1" t="s">
        <v>625</v>
      </c>
      <c r="F198" s="1" t="str">
        <f t="shared" si="9"/>
        <v>https://www.google.com/search?q=FEMTEC (World Federation of Hydro/Climatotherapy)+最近公告會期</v>
      </c>
      <c r="G198" s="1" t="str">
        <f t="shared" si="10"/>
        <v>https://www.google.com/search?q=FEMTEC (World Federation of Hydro/Climatotherapy)+最近公告徵稿截止日期</v>
      </c>
      <c r="H198" s="1" t="str">
        <f t="shared" si="11"/>
        <v>https://www.google.com/search?q=FEMTEC+(World+Federation+of+Hydro/Climatotherapy)+official+website</v>
      </c>
      <c r="I198" s="2" t="s">
        <v>107</v>
      </c>
      <c r="J198" s="2" t="s">
        <v>56</v>
      </c>
      <c r="K198" s="2" t="s">
        <v>7</v>
      </c>
      <c r="L198" s="2" t="s">
        <v>58</v>
      </c>
    </row>
    <row r="199" spans="1:12" ht="72" customHeight="1">
      <c r="A199" s="1" t="s">
        <v>555</v>
      </c>
      <c r="B199" s="2" t="s">
        <v>556</v>
      </c>
      <c r="C199" s="1" t="s">
        <v>640</v>
      </c>
      <c r="D199" s="1" t="s">
        <v>632</v>
      </c>
      <c r="E199" s="1" t="s">
        <v>628</v>
      </c>
      <c r="F199" s="1" t="str">
        <f t="shared" si="9"/>
        <v>https://www.google.com/search?q=WFN (World Federation of Neurology)+最近公告會期</v>
      </c>
      <c r="G199" s="1" t="str">
        <f t="shared" si="10"/>
        <v>https://www.google.com/search?q=WFN (World Federation of Neurology)+最近公告徵稿截止日期</v>
      </c>
      <c r="H199" s="1" t="str">
        <f t="shared" si="11"/>
        <v>https://www.google.com/search?q=WFN+(World+Federation+of+Neurology)+official+website</v>
      </c>
      <c r="I199" s="2" t="s">
        <v>138</v>
      </c>
      <c r="J199" s="2" t="s">
        <v>139</v>
      </c>
      <c r="K199" s="2" t="s">
        <v>7</v>
      </c>
      <c r="L199" s="2" t="s">
        <v>8</v>
      </c>
    </row>
    <row r="200" spans="1:12" ht="72" customHeight="1">
      <c r="A200" s="1" t="s">
        <v>557</v>
      </c>
      <c r="B200" s="2" t="s">
        <v>723</v>
      </c>
      <c r="C200" s="1" t="s">
        <v>640</v>
      </c>
      <c r="D200" s="1" t="s">
        <v>632</v>
      </c>
      <c r="E200" s="1" t="s">
        <v>633</v>
      </c>
      <c r="F200" s="1" t="str">
        <f t="shared" si="9"/>
        <v>https://www.google.com/search?q=WFNS (World Federation of Neurosurgical Societies)+最近公告會期</v>
      </c>
      <c r="G200" s="1" t="str">
        <f t="shared" si="10"/>
        <v>https://www.google.com/search?q=WFNS (World Federation of Neurosurgical Societies)+最近公告徵稿截止日期</v>
      </c>
      <c r="H200" s="1" t="str">
        <f t="shared" si="11"/>
        <v>https://www.google.com/search?q=WFNS+(World+Federation+of+Neurosurgical+Societies)+official+website</v>
      </c>
      <c r="I200" s="2" t="s">
        <v>558</v>
      </c>
      <c r="J200" s="2" t="s">
        <v>559</v>
      </c>
      <c r="K200" s="2" t="s">
        <v>7</v>
      </c>
      <c r="L200" s="2" t="s">
        <v>8</v>
      </c>
    </row>
    <row r="201" spans="1:12" ht="72" customHeight="1">
      <c r="A201" s="1" t="s">
        <v>560</v>
      </c>
      <c r="B201" s="2" t="s">
        <v>748</v>
      </c>
      <c r="C201" s="1" t="s">
        <v>640</v>
      </c>
      <c r="D201" s="1" t="s">
        <v>627</v>
      </c>
      <c r="E201" s="1" t="s">
        <v>629</v>
      </c>
      <c r="F201" s="1" t="str">
        <f t="shared" si="9"/>
        <v>https://www.google.com/search?q=WFNMB (World Federation of Nuclear Med and Biology)+最近公告會期</v>
      </c>
      <c r="G201" s="1" t="str">
        <f t="shared" si="10"/>
        <v>https://www.google.com/search?q=WFNMB (World Federation of Nuclear Med and Biology)+最近公告徵稿截止日期</v>
      </c>
      <c r="H201" s="1" t="str">
        <f t="shared" si="11"/>
        <v>https://www.google.com/search?q=WFNMB+(World+Federation+of+Nuclear+Med+and+Biology)+official+website</v>
      </c>
      <c r="I201" s="2" t="s">
        <v>561</v>
      </c>
      <c r="J201" s="2" t="s">
        <v>562</v>
      </c>
      <c r="K201" s="2" t="s">
        <v>101</v>
      </c>
      <c r="L201" s="2" t="s">
        <v>8</v>
      </c>
    </row>
    <row r="202" spans="1:12" ht="72" customHeight="1">
      <c r="A202" s="1" t="s">
        <v>563</v>
      </c>
      <c r="B202" s="2" t="s">
        <v>724</v>
      </c>
      <c r="C202" s="1" t="s">
        <v>640</v>
      </c>
      <c r="D202" s="1" t="s">
        <v>632</v>
      </c>
      <c r="E202" s="1" t="s">
        <v>633</v>
      </c>
      <c r="F202" s="1" t="str">
        <f t="shared" si="9"/>
        <v>https://www.google.com/search?q=WFOT (World Federation of Occupational Therapists)+最近公告會期</v>
      </c>
      <c r="G202" s="1" t="str">
        <f t="shared" si="10"/>
        <v>https://www.google.com/search?q=WFOT (World Federation of Occupational Therapists)+最近公告徵稿截止日期</v>
      </c>
      <c r="H202" s="1" t="str">
        <f t="shared" si="11"/>
        <v>https://www.google.com/search?q=WFOT+(World+Federation+of+Occupational+Therapists)+official+website</v>
      </c>
      <c r="I202" s="2" t="s">
        <v>564</v>
      </c>
      <c r="J202" s="2" t="s">
        <v>565</v>
      </c>
      <c r="K202" s="2" t="s">
        <v>7</v>
      </c>
      <c r="L202" s="2" t="s">
        <v>8</v>
      </c>
    </row>
    <row r="203" spans="1:12" ht="72" customHeight="1">
      <c r="A203" s="1" t="s">
        <v>566</v>
      </c>
      <c r="B203" s="2" t="s">
        <v>725</v>
      </c>
      <c r="C203" s="1" t="s">
        <v>640</v>
      </c>
      <c r="D203" s="1" t="s">
        <v>627</v>
      </c>
      <c r="E203" s="1" t="s">
        <v>629</v>
      </c>
      <c r="F203" s="1" t="str">
        <f t="shared" si="9"/>
        <v>https://www.google.com/search?q=WFPHA (World Federation of Public Health AsSociety of)+最近公告會期</v>
      </c>
      <c r="G203" s="1" t="str">
        <f t="shared" si="10"/>
        <v>https://www.google.com/search?q=WFPHA (World Federation of Public Health AsSociety of)+最近公告徵稿截止日期</v>
      </c>
      <c r="H203" s="1" t="str">
        <f t="shared" si="11"/>
        <v>https://www.google.com/search?q=WFPHA+(World+Federation+of+Public+Health+AsSociety+of)+official+website</v>
      </c>
      <c r="I203" s="2" t="s">
        <v>567</v>
      </c>
      <c r="J203" s="2" t="s">
        <v>56</v>
      </c>
      <c r="K203" s="2" t="s">
        <v>7</v>
      </c>
      <c r="L203" s="2" t="s">
        <v>58</v>
      </c>
    </row>
    <row r="204" spans="1:12" ht="72" customHeight="1">
      <c r="A204" s="1" t="s">
        <v>568</v>
      </c>
      <c r="B204" s="2" t="s">
        <v>726</v>
      </c>
      <c r="C204" s="1" t="s">
        <v>655</v>
      </c>
      <c r="D204" s="1" t="s">
        <v>625</v>
      </c>
      <c r="E204" s="1" t="s">
        <v>625</v>
      </c>
      <c r="F204" s="1" t="str">
        <f t="shared" si="9"/>
        <v>https://www.google.com/search?q=WFSA (World Federation of Societies Anaesthesiologists)+最近公告會期</v>
      </c>
      <c r="G204" s="1" t="str">
        <f t="shared" si="10"/>
        <v>https://www.google.com/search?q=WFSA (World Federation of Societies Anaesthesiologists)+最近公告徵稿截止日期</v>
      </c>
      <c r="H204" s="1" t="str">
        <f t="shared" si="11"/>
        <v>https://www.google.com/search?q=WFSA+(World+Federation+of+Societies+Anaesthesiologists)+official+website</v>
      </c>
      <c r="I204" s="2" t="s">
        <v>164</v>
      </c>
      <c r="J204" s="2" t="s">
        <v>165</v>
      </c>
      <c r="K204" s="2" t="s">
        <v>7</v>
      </c>
      <c r="L204" s="2" t="s">
        <v>8</v>
      </c>
    </row>
    <row r="205" spans="1:12" ht="72" customHeight="1">
      <c r="A205" s="1" t="s">
        <v>569</v>
      </c>
      <c r="B205" s="2" t="s">
        <v>570</v>
      </c>
      <c r="C205" s="1" t="s">
        <v>638</v>
      </c>
      <c r="D205" s="1" t="s">
        <v>632</v>
      </c>
      <c r="E205" s="1" t="s">
        <v>628</v>
      </c>
      <c r="F205" s="1" t="str">
        <f t="shared" si="9"/>
        <v>https://www.google.com/search?q=WFD (World Federation of the Deaf)+最近公告會期</v>
      </c>
      <c r="G205" s="1" t="str">
        <f t="shared" si="10"/>
        <v>https://www.google.com/search?q=WFD (World Federation of the Deaf)+最近公告徵稿截止日期</v>
      </c>
      <c r="H205" s="1" t="str">
        <f t="shared" si="11"/>
        <v>https://www.google.com/search?q=WFD+(World+Federation+of+the+Deaf)+official+website</v>
      </c>
      <c r="I205" s="2" t="s">
        <v>571</v>
      </c>
      <c r="J205" s="2" t="s">
        <v>572</v>
      </c>
      <c r="K205" s="2" t="s">
        <v>169</v>
      </c>
      <c r="L205" s="2" t="s">
        <v>8</v>
      </c>
    </row>
    <row r="206" spans="1:12" ht="72" customHeight="1">
      <c r="A206" s="1" t="s">
        <v>573</v>
      </c>
      <c r="B206" s="2" t="s">
        <v>727</v>
      </c>
      <c r="C206" s="1" t="s">
        <v>640</v>
      </c>
      <c r="D206" s="1" t="s">
        <v>632</v>
      </c>
      <c r="E206" s="1" t="s">
        <v>633</v>
      </c>
      <c r="F206" s="1" t="str">
        <f t="shared" si="9"/>
        <v>https://www.google.com/search?q=WFSGI (World Federation of Sporting Goods Industry)+最近公告會期</v>
      </c>
      <c r="G206" s="1" t="str">
        <f t="shared" si="10"/>
        <v>https://www.google.com/search?q=WFSGI (World Federation of Sporting Goods Industry)+最近公告徵稿截止日期</v>
      </c>
      <c r="H206" s="1" t="str">
        <f t="shared" si="11"/>
        <v>https://www.google.com/search?q=WFSGI+(World+Federation+of+Sporting+Goods+Industry)+official+website</v>
      </c>
      <c r="I206" s="2" t="s">
        <v>17</v>
      </c>
      <c r="J206" s="2" t="s">
        <v>18</v>
      </c>
      <c r="K206" s="2" t="s">
        <v>19</v>
      </c>
      <c r="L206" s="2" t="s">
        <v>20</v>
      </c>
    </row>
    <row r="207" spans="1:12" ht="72" customHeight="1">
      <c r="A207" s="1" t="s">
        <v>574</v>
      </c>
      <c r="B207" s="2" t="s">
        <v>575</v>
      </c>
      <c r="C207" s="1" t="s">
        <v>640</v>
      </c>
      <c r="D207" s="1" t="s">
        <v>627</v>
      </c>
      <c r="E207" s="1" t="s">
        <v>629</v>
      </c>
      <c r="F207" s="1" t="str">
        <f t="shared" si="9"/>
        <v>https://www.google.com/search?q=WHF (World Heart Federation)+最近公告會期</v>
      </c>
      <c r="G207" s="1" t="str">
        <f t="shared" si="10"/>
        <v>https://www.google.com/search?q=WHF (World Heart Federation)+最近公告徵稿截止日期</v>
      </c>
      <c r="H207" s="1" t="str">
        <f t="shared" si="11"/>
        <v>https://www.google.com/search?q=WHF+(World+Heart+Federation)+official+website</v>
      </c>
      <c r="I207" s="2" t="s">
        <v>138</v>
      </c>
      <c r="J207" s="2" t="s">
        <v>139</v>
      </c>
      <c r="K207" s="2" t="s">
        <v>7</v>
      </c>
      <c r="L207" s="2" t="s">
        <v>8</v>
      </c>
    </row>
    <row r="208" spans="1:12" ht="72" customHeight="1">
      <c r="A208" s="1" t="s">
        <v>576</v>
      </c>
      <c r="B208" s="2" t="s">
        <v>577</v>
      </c>
      <c r="C208" s="1" t="s">
        <v>655</v>
      </c>
      <c r="D208" s="1" t="s">
        <v>625</v>
      </c>
      <c r="E208" s="1" t="s">
        <v>625</v>
      </c>
      <c r="F208" s="1" t="str">
        <f t="shared" si="9"/>
        <v>https://www.google.com/search?q=WHA (World Hepatitis Alliance)+最近公告會期</v>
      </c>
      <c r="G208" s="1" t="str">
        <f t="shared" si="10"/>
        <v>https://www.google.com/search?q=WHA (World Hepatitis Alliance)+最近公告徵稿截止日期</v>
      </c>
      <c r="H208" s="1" t="str">
        <f t="shared" si="11"/>
        <v>https://www.google.com/search?q=WHA+(World+Hepatitis+Alliance)+official+website</v>
      </c>
      <c r="I208" s="2" t="s">
        <v>312</v>
      </c>
      <c r="J208" s="2" t="s">
        <v>139</v>
      </c>
      <c r="K208" s="2" t="s">
        <v>7</v>
      </c>
      <c r="L208" s="2" t="s">
        <v>8</v>
      </c>
    </row>
    <row r="209" spans="1:12" ht="72" customHeight="1">
      <c r="A209" s="1" t="s">
        <v>578</v>
      </c>
      <c r="B209" s="2" t="s">
        <v>579</v>
      </c>
      <c r="C209" s="1" t="s">
        <v>640</v>
      </c>
      <c r="D209" s="1" t="s">
        <v>632</v>
      </c>
      <c r="E209" s="1" t="s">
        <v>628</v>
      </c>
      <c r="F209" s="1" t="str">
        <f t="shared" si="9"/>
        <v>https://www.google.com/search?q=WHL (World Hypertension League)+最近公告會期</v>
      </c>
      <c r="G209" s="1" t="str">
        <f t="shared" si="10"/>
        <v>https://www.google.com/search?q=WHL (World Hypertension League)+最近公告徵稿截止日期</v>
      </c>
      <c r="H209" s="1" t="str">
        <f t="shared" si="11"/>
        <v>https://www.google.com/search?q=WHL+(World+Hypertension+League)+official+website</v>
      </c>
      <c r="I209" s="2" t="s">
        <v>352</v>
      </c>
      <c r="J209" s="2" t="s">
        <v>139</v>
      </c>
      <c r="K209" s="2" t="s">
        <v>7</v>
      </c>
      <c r="L209" s="2" t="s">
        <v>8</v>
      </c>
    </row>
    <row r="210" spans="1:12" ht="72" customHeight="1">
      <c r="A210" s="1" t="s">
        <v>580</v>
      </c>
      <c r="B210" s="2" t="s">
        <v>581</v>
      </c>
      <c r="C210" s="1" t="s">
        <v>640</v>
      </c>
      <c r="D210" s="1" t="s">
        <v>627</v>
      </c>
      <c r="E210" s="1" t="s">
        <v>629</v>
      </c>
      <c r="F210" s="1" t="str">
        <f t="shared" si="9"/>
        <v>https://www.google.com/search?q=WMA (World Medical Association)+最近公告會期</v>
      </c>
      <c r="G210" s="1" t="str">
        <f t="shared" si="10"/>
        <v>https://www.google.com/search?q=WMA (World Medical Association)+最近公告徵稿截止日期</v>
      </c>
      <c r="H210" s="1" t="str">
        <f t="shared" si="11"/>
        <v>https://www.google.com/search?q=WMA+(World+Medical+Association)+official+website</v>
      </c>
      <c r="I210" s="2" t="s">
        <v>265</v>
      </c>
      <c r="J210" s="2" t="s">
        <v>56</v>
      </c>
      <c r="K210" s="2" t="s">
        <v>7</v>
      </c>
      <c r="L210" s="2" t="s">
        <v>58</v>
      </c>
    </row>
    <row r="211" spans="1:12" ht="72" customHeight="1">
      <c r="A211" s="1" t="s">
        <v>582</v>
      </c>
      <c r="B211" s="2" t="s">
        <v>583</v>
      </c>
      <c r="C211" s="1" t="s">
        <v>640</v>
      </c>
      <c r="D211" s="1" t="s">
        <v>632</v>
      </c>
      <c r="E211" s="1" t="s">
        <v>633</v>
      </c>
      <c r="F211" s="1" t="str">
        <f t="shared" si="9"/>
        <v>https://www.google.com/search?q=WOF (World Obesity Federation)+最近公告會期</v>
      </c>
      <c r="G211" s="1" t="str">
        <f t="shared" si="10"/>
        <v>https://www.google.com/search?q=WOF (World Obesity Federation)+最近公告徵稿截止日期</v>
      </c>
      <c r="H211" s="1" t="str">
        <f t="shared" si="11"/>
        <v>https://www.google.com/search?q=WOF+(World+Obesity+Federation)+official+website</v>
      </c>
      <c r="I211" s="2" t="s">
        <v>584</v>
      </c>
      <c r="J211" s="2" t="s">
        <v>585</v>
      </c>
      <c r="K211" s="2" t="s">
        <v>95</v>
      </c>
      <c r="L211" s="2" t="s">
        <v>8</v>
      </c>
    </row>
    <row r="212" spans="1:12" ht="72" customHeight="1">
      <c r="A212" s="1" t="s">
        <v>586</v>
      </c>
      <c r="B212" s="2" t="s">
        <v>587</v>
      </c>
      <c r="C212" s="1" t="s">
        <v>655</v>
      </c>
      <c r="D212" s="1" t="s">
        <v>625</v>
      </c>
      <c r="E212" s="1" t="s">
        <v>625</v>
      </c>
      <c r="F212" s="1" t="str">
        <f t="shared" si="9"/>
        <v>https://www.google.com/search?q=WPC (World Plumbing Council)+最近公告會期</v>
      </c>
      <c r="G212" s="1" t="str">
        <f t="shared" si="10"/>
        <v>https://www.google.com/search?q=WPC (World Plumbing Council)+最近公告徵稿截止日期</v>
      </c>
      <c r="H212" s="1" t="str">
        <f t="shared" si="11"/>
        <v>https://www.google.com/search?q=WPC+(World+Plumbing+Council)+official+website</v>
      </c>
      <c r="I212" s="2" t="s">
        <v>588</v>
      </c>
      <c r="J212" s="2" t="s">
        <v>69</v>
      </c>
      <c r="K212" s="2" t="s">
        <v>7</v>
      </c>
      <c r="L212" s="2" t="s">
        <v>8</v>
      </c>
    </row>
    <row r="213" spans="1:12" ht="72" customHeight="1">
      <c r="A213" s="1" t="s">
        <v>589</v>
      </c>
      <c r="B213" s="2" t="s">
        <v>590</v>
      </c>
      <c r="C213" s="1" t="s">
        <v>640</v>
      </c>
      <c r="D213" s="1" t="s">
        <v>632</v>
      </c>
      <c r="E213" s="1" t="s">
        <v>628</v>
      </c>
      <c r="F213" s="1" t="str">
        <f t="shared" si="9"/>
        <v>https://www.google.com/search?q=WPA (World Psychiatric Association)+最近公告會期</v>
      </c>
      <c r="G213" s="1" t="str">
        <f t="shared" si="10"/>
        <v>https://www.google.com/search?q=WPA (World Psychiatric Association)+最近公告徵稿截止日期</v>
      </c>
      <c r="H213" s="1" t="str">
        <f t="shared" si="11"/>
        <v>https://www.google.com/search?q=WPA+(World+Psychiatric+Association)+official+website</v>
      </c>
      <c r="I213" s="2" t="s">
        <v>591</v>
      </c>
      <c r="J213" s="2" t="s">
        <v>158</v>
      </c>
      <c r="K213" s="2" t="s">
        <v>7</v>
      </c>
      <c r="L213" s="2" t="s">
        <v>8</v>
      </c>
    </row>
    <row r="214" spans="1:12" ht="72" customHeight="1">
      <c r="A214" s="1" t="s">
        <v>592</v>
      </c>
      <c r="B214" s="2" t="s">
        <v>593</v>
      </c>
      <c r="C214" s="1" t="s">
        <v>640</v>
      </c>
      <c r="D214" s="1" t="s">
        <v>632</v>
      </c>
      <c r="E214" s="1" t="s">
        <v>633</v>
      </c>
      <c r="F214" s="1" t="str">
        <f t="shared" si="9"/>
        <v>https://www.google.com/search?q=WSO (World Stroke Organization)+最近公告會期</v>
      </c>
      <c r="G214" s="1" t="str">
        <f t="shared" si="10"/>
        <v>https://www.google.com/search?q=WSO (World Stroke Organization)+最近公告徵稿截止日期</v>
      </c>
      <c r="H214" s="1" t="str">
        <f t="shared" si="11"/>
        <v>https://www.google.com/search?q=WSO+(World+Stroke+Organization)+official+website</v>
      </c>
      <c r="I214" s="2" t="s">
        <v>594</v>
      </c>
      <c r="J214" s="2" t="s">
        <v>595</v>
      </c>
      <c r="K214" s="2" t="s">
        <v>7</v>
      </c>
      <c r="L214" s="2" t="s">
        <v>8</v>
      </c>
    </row>
    <row r="215" spans="1:12" ht="72" customHeight="1">
      <c r="A215" s="1" t="s">
        <v>596</v>
      </c>
      <c r="B215" s="2" t="s">
        <v>597</v>
      </c>
      <c r="C215" s="1" t="s">
        <v>640</v>
      </c>
      <c r="D215" s="1" t="s">
        <v>627</v>
      </c>
      <c r="E215" s="1" t="s">
        <v>629</v>
      </c>
      <c r="F215" s="1" t="str">
        <f t="shared" si="9"/>
        <v>https://www.google.com/search?q=WVA (World Veterinary Association)+最近公告會期</v>
      </c>
      <c r="G215" s="1" t="str">
        <f t="shared" si="10"/>
        <v>https://www.google.com/search?q=WVA (World Veterinary Association)+最近公告徵稿截止日期</v>
      </c>
      <c r="H215" s="1" t="str">
        <f t="shared" si="11"/>
        <v>https://www.google.com/search?q=WVA+(World+Veterinary+Association)+official+website</v>
      </c>
      <c r="I215" s="2" t="s">
        <v>75</v>
      </c>
      <c r="J215" s="2" t="s">
        <v>56</v>
      </c>
      <c r="K215" s="2" t="s">
        <v>7</v>
      </c>
      <c r="L215" s="2" t="s">
        <v>58</v>
      </c>
    </row>
    <row r="216" spans="1:12" ht="72" customHeight="1">
      <c r="A216" s="1" t="s">
        <v>598</v>
      </c>
      <c r="B216" s="2" t="s">
        <v>599</v>
      </c>
      <c r="C216" s="1" t="s">
        <v>699</v>
      </c>
      <c r="D216" s="1" t="s">
        <v>625</v>
      </c>
      <c r="E216" s="1" t="s">
        <v>625</v>
      </c>
      <c r="F216" s="1" t="str">
        <f t="shared" si="9"/>
        <v>https://www.google.com/search?q=WVI (World Vision International)+最近公告會期</v>
      </c>
      <c r="G216" s="1" t="str">
        <f t="shared" si="10"/>
        <v>https://www.google.com/search?q=WVI (World Vision International)+最近公告徵稿截止日期</v>
      </c>
      <c r="H216" s="1" t="str">
        <f t="shared" si="11"/>
        <v>https://www.google.com/search?q=WVI+(World+Vision+International)+official+website</v>
      </c>
      <c r="I216" s="2" t="s">
        <v>600</v>
      </c>
      <c r="J216" s="2" t="s">
        <v>401</v>
      </c>
      <c r="K216" s="2" t="s">
        <v>7</v>
      </c>
      <c r="L216" s="2" t="s">
        <v>8</v>
      </c>
    </row>
    <row r="217" spans="1:12" ht="72" customHeight="1">
      <c r="A217" s="1" t="s">
        <v>601</v>
      </c>
      <c r="B217" s="2" t="s">
        <v>602</v>
      </c>
      <c r="C217" s="1" t="s">
        <v>640</v>
      </c>
      <c r="D217" s="1" t="s">
        <v>632</v>
      </c>
      <c r="E217" s="1" t="s">
        <v>628</v>
      </c>
      <c r="F217" s="1" t="str">
        <f t="shared" si="9"/>
        <v>https://www.google.com/search?q=WBMT (Worldwide Network Blood/Marrow Transp)+最近公告會期</v>
      </c>
      <c r="G217" s="1" t="str">
        <f t="shared" si="10"/>
        <v>https://www.google.com/search?q=WBMT (Worldwide Network Blood/Marrow Transp)+最近公告徵稿截止日期</v>
      </c>
      <c r="H217" s="1" t="str">
        <f t="shared" si="11"/>
        <v>https://www.google.com/search?q=WBMT+(Worldwide+Network+Blood/Marrow+Transp)+official+website</v>
      </c>
      <c r="I217" s="2" t="s">
        <v>603</v>
      </c>
      <c r="J217" s="2" t="s">
        <v>604</v>
      </c>
      <c r="K217" s="2" t="s">
        <v>7</v>
      </c>
      <c r="L217" s="2" t="s">
        <v>8</v>
      </c>
    </row>
    <row r="218" spans="1:12" ht="72" customHeight="1">
      <c r="A218" s="1" t="s">
        <v>605</v>
      </c>
      <c r="B218" s="2" t="s">
        <v>648</v>
      </c>
      <c r="C218" s="1" t="s">
        <v>640</v>
      </c>
      <c r="D218" s="1" t="s">
        <v>632</v>
      </c>
      <c r="E218" s="1" t="s">
        <v>633</v>
      </c>
      <c r="F218" s="1" t="str">
        <f t="shared" si="9"/>
        <v>https://www.google.com/search?q=HPH (International Network of Health Promoting Hospitals and Health Services)+最近公告會期</v>
      </c>
      <c r="G218" s="1" t="str">
        <f t="shared" si="10"/>
        <v>https://www.google.com/search?q=HPH (International Network of Health Promoting Hospitals and Health Services)+最近公告徵稿截止日期</v>
      </c>
      <c r="H218" s="1" t="str">
        <f t="shared" si="11"/>
        <v>https://www.google.com/search?q=HPH+(International+Network+of+Health+Promoting+Hospitals+and+Health+Services)+official+website</v>
      </c>
      <c r="I218" s="2" t="s">
        <v>606</v>
      </c>
      <c r="J218" s="2" t="s">
        <v>18</v>
      </c>
      <c r="K218" s="2" t="s">
        <v>19</v>
      </c>
      <c r="L218" s="2" t="s">
        <v>20</v>
      </c>
    </row>
    <row r="219" spans="1:12" ht="72" customHeight="1">
      <c r="A219" s="1" t="s">
        <v>607</v>
      </c>
      <c r="B219" s="2" t="s">
        <v>608</v>
      </c>
      <c r="C219" s="1" t="s">
        <v>640</v>
      </c>
      <c r="D219" s="1" t="s">
        <v>627</v>
      </c>
      <c r="E219" s="1" t="s">
        <v>629</v>
      </c>
      <c r="F219" s="1" t="str">
        <f t="shared" si="9"/>
        <v>https://www.google.com/search?q=AMEE (An International Association for Medical Education)+最近公告會期</v>
      </c>
      <c r="G219" s="1" t="str">
        <f t="shared" si="10"/>
        <v>https://www.google.com/search?q=AMEE (An International Association for Medical Education)+最近公告徵稿截止日期</v>
      </c>
      <c r="H219" s="1" t="str">
        <f t="shared" si="11"/>
        <v>https://www.google.com/search?q=AMEE+(An+International+Association+for+Medical+Education)+official+website</v>
      </c>
      <c r="I219" s="2" t="s">
        <v>609</v>
      </c>
      <c r="J219" s="2" t="s">
        <v>235</v>
      </c>
      <c r="K219" s="2" t="s">
        <v>236</v>
      </c>
      <c r="L219" s="2" t="s">
        <v>237</v>
      </c>
    </row>
    <row r="220" spans="1:12" ht="72" customHeight="1">
      <c r="A220" s="1" t="s">
        <v>610</v>
      </c>
      <c r="B220" s="2" t="s">
        <v>697</v>
      </c>
      <c r="C220" s="1" t="s">
        <v>700</v>
      </c>
      <c r="D220" s="1" t="s">
        <v>701</v>
      </c>
      <c r="E220" s="1" t="s">
        <v>625</v>
      </c>
      <c r="F220" s="1" t="str">
        <f t="shared" si="9"/>
        <v>https://www.google.com/search?q=WFME (World Federation for Medical Education)+最近公告會期</v>
      </c>
      <c r="G220" s="1" t="str">
        <f t="shared" si="10"/>
        <v>https://www.google.com/search?q=WFME (World Federation for Medical Education)+最近公告徵稿截止日期</v>
      </c>
      <c r="H220" s="1" t="str">
        <f t="shared" si="11"/>
        <v>https://www.google.com/search?q=WFME+(World+Federation+for+Medical+Education)+official+website</v>
      </c>
      <c r="I220" s="2" t="s">
        <v>611</v>
      </c>
      <c r="J220" s="2" t="s">
        <v>235</v>
      </c>
      <c r="K220" s="2" t="s">
        <v>236</v>
      </c>
      <c r="L220" s="2" t="s">
        <v>237</v>
      </c>
    </row>
    <row r="221" spans="1:12" ht="72" customHeight="1">
      <c r="A221" s="1" t="s">
        <v>612</v>
      </c>
      <c r="B221" s="2" t="s">
        <v>649</v>
      </c>
      <c r="C221" s="1" t="s">
        <v>640</v>
      </c>
      <c r="D221" s="1" t="s">
        <v>632</v>
      </c>
      <c r="E221" s="1" t="s">
        <v>628</v>
      </c>
      <c r="F221" s="1" t="str">
        <f t="shared" si="9"/>
        <v>https://www.google.com/search?q=APMEC (Asia-Pacific Medical Education Conference / 亞太醫學教育學會)+最近公告會期</v>
      </c>
      <c r="G221" s="1" t="str">
        <f t="shared" si="10"/>
        <v>https://www.google.com/search?q=APMEC (Asia-Pacific Medical Education Conference / 亞太醫學教育學會)+最近公告徵稿截止日期</v>
      </c>
      <c r="H221" s="1" t="str">
        <f t="shared" si="11"/>
        <v>https://www.google.com/search?q=APMEC+(Asia-Pacific+Medical+Education+Conference+/+亞太醫學教育學會)+official+website</v>
      </c>
      <c r="I221" s="2" t="s">
        <v>613</v>
      </c>
      <c r="J221" s="2" t="s">
        <v>235</v>
      </c>
      <c r="K221" s="2" t="s">
        <v>236</v>
      </c>
      <c r="L221" s="2" t="s">
        <v>237</v>
      </c>
    </row>
    <row r="222" spans="1:12" ht="72" customHeight="1">
      <c r="A222" s="1" t="s">
        <v>614</v>
      </c>
      <c r="B222" s="2" t="s">
        <v>615</v>
      </c>
      <c r="C222" s="1" t="s">
        <v>640</v>
      </c>
      <c r="D222" s="1" t="s">
        <v>632</v>
      </c>
      <c r="E222" s="1" t="s">
        <v>633</v>
      </c>
      <c r="F222" s="1" t="str">
        <f t="shared" si="9"/>
        <v>https://www.google.com/search?q=SEARAME (South-East Asian Regional Association for Medical Education / 東南亞醫學教育學會)+最近公告會期</v>
      </c>
      <c r="G222" s="1" t="str">
        <f t="shared" si="10"/>
        <v>https://www.google.com/search?q=SEARAME (South-East Asian Regional Association for Medical Education / 東南亞醫學教育學會)+最近公告徵稿截止日期</v>
      </c>
      <c r="H222" s="1" t="str">
        <f t="shared" si="11"/>
        <v>https://www.google.com/search?q=SEARAME+(South-East+Asian+Regional+Association+for+Medical+Education+/+東南亞醫學教育學會)+official+website</v>
      </c>
      <c r="I222" s="2" t="s">
        <v>616</v>
      </c>
      <c r="J222" s="2" t="s">
        <v>235</v>
      </c>
      <c r="K222" s="2" t="s">
        <v>236</v>
      </c>
      <c r="L222" s="2" t="s">
        <v>237</v>
      </c>
    </row>
    <row r="223" spans="1:12" ht="72" customHeight="1">
      <c r="A223" s="1" t="s">
        <v>617</v>
      </c>
      <c r="B223" s="2" t="s">
        <v>618</v>
      </c>
      <c r="C223" s="1" t="s">
        <v>640</v>
      </c>
      <c r="D223" s="1" t="s">
        <v>627</v>
      </c>
      <c r="E223" s="1" t="s">
        <v>629</v>
      </c>
      <c r="F223" s="1" t="str">
        <f t="shared" si="9"/>
        <v>https://www.google.com/search?q=EBMA (European Board of Medical Assessors / 歐洲醫學評量學會)+最近公告會期</v>
      </c>
      <c r="G223" s="1" t="str">
        <f t="shared" si="10"/>
        <v>https://www.google.com/search?q=EBMA (European Board of Medical Assessors / 歐洲醫學評量學會)+最近公告徵稿截止日期</v>
      </c>
      <c r="H223" s="1" t="str">
        <f t="shared" si="11"/>
        <v>https://www.google.com/search?q=EBMA+(European+Board+of+Medical+Assessors+/+歐洲醫學評量學會)+official+website</v>
      </c>
      <c r="I223" s="2" t="s">
        <v>619</v>
      </c>
      <c r="J223" s="2" t="s">
        <v>235</v>
      </c>
      <c r="K223" s="2" t="s">
        <v>236</v>
      </c>
      <c r="L223" s="2" t="s">
        <v>237</v>
      </c>
    </row>
    <row r="224" spans="1:12" ht="72" customHeight="1">
      <c r="A224" s="1" t="s">
        <v>620</v>
      </c>
      <c r="B224" s="2" t="s">
        <v>621</v>
      </c>
      <c r="C224" s="1" t="s">
        <v>640</v>
      </c>
      <c r="D224" s="1" t="s">
        <v>627</v>
      </c>
      <c r="E224" s="1" t="s">
        <v>629</v>
      </c>
      <c r="F224" s="1" t="str">
        <f t="shared" si="9"/>
        <v>https://www.google.com/search?q=JSME (Japan Society for Medical Education / 日本醫學教育學會)+最近公告會期</v>
      </c>
      <c r="G224" s="1" t="str">
        <f t="shared" si="10"/>
        <v>https://www.google.com/search?q=JSME (Japan Society for Medical Education / 日本醫學教育學會)+最近公告徵稿截止日期</v>
      </c>
      <c r="H224" s="1" t="str">
        <f t="shared" si="11"/>
        <v>https://www.google.com/search?q=JSME+(Japan+Society+for+Medical+Education+/+日本醫學教育學會)+official+website</v>
      </c>
      <c r="I224" s="2" t="s">
        <v>622</v>
      </c>
      <c r="J224" s="2" t="s">
        <v>235</v>
      </c>
      <c r="K224" s="2" t="s">
        <v>236</v>
      </c>
      <c r="L224" s="2" t="s">
        <v>237</v>
      </c>
    </row>
  </sheetData>
  <autoFilter ref="A1:L224"/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智慧學術推薦系統核心主表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chinhiou</cp:lastModifiedBy>
  <dcterms:created xsi:type="dcterms:W3CDTF">2026-06-01T12:53:21Z</dcterms:created>
  <dcterms:modified xsi:type="dcterms:W3CDTF">2026-06-11T17:37:36Z</dcterms:modified>
</cp:coreProperties>
</file>